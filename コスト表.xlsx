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Taiki\Documents\GitHub\koukiteam\"/>
    </mc:Choice>
  </mc:AlternateContent>
  <xr:revisionPtr revIDLastSave="0" documentId="13_ncr:1_{618DCD2D-4FE2-447A-B17F-8CD599D620DF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<sst xmlns="http://schemas.openxmlformats.org/spreadsheetml/2006/main" count="797" uniqueCount="241">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</sst>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485</v>
      </c>
      <c r="L4" s="3">
        <f ca="1" xml:space="preserve"> K3 / K4</f>
        <v>5.4639175257731959E-2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46281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-454</v>
      </c>
      <c r="M9" s="3">
        <f ca="1">($K$2 - $K$3) / L9</f>
        <v>-0.20264317180616739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-434</v>
      </c>
      <c r="M10" s="3">
        <f ca="1">($K$2 - $K$3) / L10</f>
        <v>-0.2119815668202765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-423</v>
      </c>
      <c r="M11" s="3">
        <f ca="1">($K$2 - $K$3) / L11</f>
        <v>-0.21749408983451538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SUM(作業工数見積もり!F3:F103)</f>
        <v>53.5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485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46281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-454</v>
      </c>
      <c r="E10" s="3">
        <f ca="1">($C$3 - $C$4) / D10</f>
        <v>-0.11784140969162996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-434</v>
      </c>
      <c r="E11" s="3">
        <f ca="1">($C$3 - $C$4) / D11</f>
        <v>-0.12327188940092165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-423</v>
      </c>
      <c r="E12" s="3">
        <f ca="1">($C$3 - $C$4) / D12</f>
        <v>-0.12647754137115838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7"/>
  <sheetViews>
    <sheetView tabSelected="1" topLeftCell="A25" zoomScale="85" zoomScaleNormal="85" workbookViewId="0">
      <selection activeCell="F61" sqref="F61"/>
    </sheetView>
  </sheetViews>
  <sheetFormatPr defaultColWidth="9"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37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0.5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H10" s="28" t="s">
        <v>136</v>
      </c>
      <c r="K10" s="34" t="s">
        <v>134</v>
      </c>
      <c r="L10" s="21">
        <f>COUNTIF(H3:H77,K10)</f>
        <v>0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H11" s="28" t="s">
        <v>136</v>
      </c>
    </row>
    <row r="12" spans="2:13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53.5</v>
      </c>
    </row>
    <row r="13" spans="2:13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H13" s="28" t="s">
        <v>136</v>
      </c>
      <c r="I13" s="21" t="s">
        <v>215</v>
      </c>
      <c r="K13" s="38" t="s">
        <v>135</v>
      </c>
      <c r="L13" s="21">
        <f>1*L12</f>
        <v>53.5</v>
      </c>
    </row>
    <row r="14" spans="2:13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4</v>
      </c>
      <c r="H14" s="28" t="s">
        <v>136</v>
      </c>
      <c r="I14" s="21" t="s">
        <v>215</v>
      </c>
      <c r="J14" s="38"/>
    </row>
    <row r="15" spans="2:13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H18" s="28" t="s">
        <v>136</v>
      </c>
      <c r="K18" s="21" t="s">
        <v>232</v>
      </c>
      <c r="L18" s="21">
        <f>COUNTIF(I3:I77, K18)</f>
        <v>8</v>
      </c>
    </row>
    <row r="19" spans="2:12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3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H20" s="28" t="s">
        <v>136</v>
      </c>
    </row>
    <row r="21" spans="2:12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136</v>
      </c>
      <c r="I21" s="21" t="s">
        <v>215</v>
      </c>
    </row>
    <row r="22" spans="2:12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H23" s="28" t="s">
        <v>136</v>
      </c>
    </row>
    <row r="24" spans="2:12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H50" s="28" t="s">
        <v>136</v>
      </c>
      <c r="I50" s="21" t="s">
        <v>216</v>
      </c>
    </row>
    <row r="51" spans="1:9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H51" s="28" t="s">
        <v>136</v>
      </c>
      <c r="I51" s="21" t="s">
        <v>216</v>
      </c>
    </row>
    <row r="52" spans="1:9">
      <c r="B52" s="50" t="s">
        <v>188</v>
      </c>
      <c r="C52" s="21" t="s">
        <v>189</v>
      </c>
      <c r="D52" s="28" t="s">
        <v>9</v>
      </c>
      <c r="E52" s="28" t="s">
        <v>34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>
      <c r="B54" s="50" t="s">
        <v>188</v>
      </c>
      <c r="C54" s="21" t="s">
        <v>190</v>
      </c>
      <c r="D54" s="28" t="s">
        <v>9</v>
      </c>
      <c r="E54" s="28" t="s">
        <v>34</v>
      </c>
      <c r="F54" s="28">
        <v>2</v>
      </c>
      <c r="H54" s="28" t="s">
        <v>136</v>
      </c>
      <c r="I54" s="21" t="s">
        <v>222</v>
      </c>
    </row>
    <row r="55" spans="1:9">
      <c r="B55" s="50" t="s">
        <v>188</v>
      </c>
      <c r="C55" s="21" t="s">
        <v>223</v>
      </c>
      <c r="D55" s="28" t="s">
        <v>9</v>
      </c>
      <c r="E55" s="28" t="s">
        <v>34</v>
      </c>
      <c r="F55" s="28">
        <v>2</v>
      </c>
      <c r="H55" s="28" t="s">
        <v>136</v>
      </c>
      <c r="I55" s="21" t="s">
        <v>222</v>
      </c>
    </row>
    <row r="56" spans="1:9">
      <c r="B56" s="29" t="s">
        <v>181</v>
      </c>
      <c r="C56" s="21" t="s">
        <v>209</v>
      </c>
      <c r="D56" s="28" t="s">
        <v>25</v>
      </c>
      <c r="E56" s="28" t="s">
        <v>18</v>
      </c>
      <c r="F56" s="28">
        <v>1</v>
      </c>
      <c r="H56" s="28" t="s">
        <v>136</v>
      </c>
      <c r="I56" s="21" t="s">
        <v>222</v>
      </c>
    </row>
    <row r="57" spans="1:9">
      <c r="B57" s="29" t="s">
        <v>181</v>
      </c>
      <c r="C57" s="21" t="s">
        <v>210</v>
      </c>
      <c r="D57" s="28" t="s">
        <v>25</v>
      </c>
      <c r="E57" s="28" t="s">
        <v>18</v>
      </c>
      <c r="F57" s="28">
        <v>1</v>
      </c>
      <c r="H57" s="28" t="s">
        <v>136</v>
      </c>
      <c r="I57" s="21" t="s">
        <v>222</v>
      </c>
    </row>
    <row r="58" spans="1:9">
      <c r="B58" s="29" t="s">
        <v>181</v>
      </c>
      <c r="C58" s="21" t="s">
        <v>198</v>
      </c>
      <c r="D58" s="28" t="s">
        <v>25</v>
      </c>
      <c r="E58" s="28" t="s">
        <v>18</v>
      </c>
      <c r="F58" s="28">
        <v>0.5</v>
      </c>
      <c r="H58" s="28" t="s">
        <v>136</v>
      </c>
      <c r="I58" s="21" t="s">
        <v>222</v>
      </c>
    </row>
    <row r="59" spans="1:9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>
      <c r="B60" s="29" t="s">
        <v>181</v>
      </c>
      <c r="C60" s="21" t="s">
        <v>219</v>
      </c>
      <c r="D60" s="28" t="s">
        <v>25</v>
      </c>
      <c r="E60" s="28" t="s">
        <v>34</v>
      </c>
      <c r="F60" s="28">
        <v>0.5</v>
      </c>
      <c r="H60" s="28" t="s">
        <v>136</v>
      </c>
      <c r="I60" s="21" t="s">
        <v>222</v>
      </c>
    </row>
    <row r="61" spans="1:9">
      <c r="B61" s="29" t="s">
        <v>181</v>
      </c>
      <c r="C61" s="21" t="s">
        <v>220</v>
      </c>
      <c r="D61" s="28" t="s">
        <v>25</v>
      </c>
      <c r="E61" s="28" t="s">
        <v>34</v>
      </c>
      <c r="F61" s="28">
        <v>0.5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136</v>
      </c>
      <c r="I64" s="21" t="s">
        <v>226</v>
      </c>
    </row>
    <row r="65" spans="2:9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/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8.7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松本　大義</cp:lastModifiedBy>
  <cp:revision/>
  <dcterms:created xsi:type="dcterms:W3CDTF">2015-06-05T18:19:34Z</dcterms:created>
  <dcterms:modified xsi:type="dcterms:W3CDTF">2026-09-16T08:33:04Z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