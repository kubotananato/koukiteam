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FukudaGenki\Documents\GitHub\koukiteam\"/>
    </mc:Choice>
  </mc:AlternateContent>
  <xr:revisionPtr revIDLastSave="0" documentId="13_ncr:1_{BFD3126C-E573-4932-86F6-77167A110C7B}" xr6:coauthVersionLast="47" xr6:coauthVersionMax="47" xr10:uidLastSave="{00000000-0000-0000-0000-000000000000}"/>
  <bookViews>
    <workbookView xWindow="-105" yWindow="0" windowWidth="21060" windowHeight="15585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<sst xmlns="http://schemas.openxmlformats.org/spreadsheetml/2006/main" count="797" uniqueCount="241">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</sst>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56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SUM(作業工数見積もり!F3:F103)</f>
        <v>45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-9.9337748344370855E-2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-0.10392609699769054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-0.1066350710900474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M77"/>
  <sheetViews>
    <sheetView tabSelected="1" zoomScale="85" zoomScaleNormal="85" workbookViewId="0">
      <selection activeCell="F45" sqref="F45"/>
    </sheetView>
  </sheetViews>
  <sheetFormatPr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 hidden="1">
      <c r="B3" s="43" t="s">
        <v>137</v>
      </c>
      <c r="C3" s="21" t="s">
        <v>138</v>
      </c>
      <c r="D3" s="28" t="s">
        <v>9</v>
      </c>
      <c r="E3" s="28" t="s">
        <v>18</v>
      </c>
      <c r="F3" s="28">
        <v>0.25</v>
      </c>
      <c r="H3" s="28" t="s">
        <v>136</v>
      </c>
      <c r="K3" s="34" t="s">
        <v>132</v>
      </c>
      <c r="L3" s="21">
        <f>SUM(L4,L5,L6)</f>
        <v>74</v>
      </c>
    </row>
    <row r="4" spans="2:13" hidden="1">
      <c r="B4" s="43" t="s">
        <v>137</v>
      </c>
      <c r="C4" s="21" t="s">
        <v>139</v>
      </c>
      <c r="D4" s="28" t="s">
        <v>17</v>
      </c>
      <c r="E4" s="28" t="s">
        <v>207</v>
      </c>
      <c r="F4" s="28">
        <v>0.25</v>
      </c>
      <c r="H4" s="28" t="s">
        <v>136</v>
      </c>
      <c r="K4" s="35" t="s">
        <v>126</v>
      </c>
      <c r="L4" s="39">
        <f>COUNTIF(E3:E77,K4)</f>
        <v>38</v>
      </c>
    </row>
    <row r="5" spans="2:13" hidden="1">
      <c r="B5" s="43" t="s">
        <v>137</v>
      </c>
      <c r="C5" s="21" t="s">
        <v>140</v>
      </c>
      <c r="D5" s="28" t="s">
        <v>9</v>
      </c>
      <c r="E5" s="28" t="s">
        <v>34</v>
      </c>
      <c r="F5" s="28">
        <v>0.25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 hidden="1">
      <c r="B8" s="44" t="s">
        <v>159</v>
      </c>
      <c r="C8" s="21" t="s">
        <v>160</v>
      </c>
      <c r="D8" s="28" t="s">
        <v>17</v>
      </c>
      <c r="E8" s="28" t="s">
        <v>18</v>
      </c>
      <c r="F8" s="28">
        <v>0.25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 hidden="1">
      <c r="B10" s="44" t="s">
        <v>159</v>
      </c>
      <c r="C10" s="21" t="s">
        <v>163</v>
      </c>
      <c r="D10" s="28" t="s">
        <v>17</v>
      </c>
      <c r="E10" s="28" t="s">
        <v>18</v>
      </c>
      <c r="F10" s="28">
        <v>0.5</v>
      </c>
      <c r="H10" s="28" t="s">
        <v>136</v>
      </c>
      <c r="K10" s="34" t="s">
        <v>134</v>
      </c>
      <c r="L10" s="21">
        <f>COUNTIF(H3:H77,K10)</f>
        <v>0</v>
      </c>
    </row>
    <row r="11" spans="2:13" hidden="1">
      <c r="B11" s="44" t="s">
        <v>159</v>
      </c>
      <c r="C11" s="21" t="s">
        <v>164</v>
      </c>
      <c r="D11" s="28" t="s">
        <v>17</v>
      </c>
      <c r="E11" s="28" t="s">
        <v>18</v>
      </c>
      <c r="F11" s="28">
        <v>0.5</v>
      </c>
      <c r="H11" s="28" t="s">
        <v>136</v>
      </c>
    </row>
    <row r="12" spans="2:13" hidden="1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45</v>
      </c>
    </row>
    <row r="13" spans="2:13" hidden="1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2</v>
      </c>
      <c r="H13" s="28" t="s">
        <v>136</v>
      </c>
      <c r="I13" s="21" t="s">
        <v>215</v>
      </c>
      <c r="K13" s="38" t="s">
        <v>135</v>
      </c>
      <c r="L13" s="21">
        <f>1*L12</f>
        <v>45</v>
      </c>
    </row>
    <row r="14" spans="2:13" hidden="1">
      <c r="B14" s="45" t="s">
        <v>141</v>
      </c>
      <c r="C14" s="21" t="s">
        <v>174</v>
      </c>
      <c r="D14" s="28" t="s">
        <v>9</v>
      </c>
      <c r="E14" s="28" t="s">
        <v>34</v>
      </c>
      <c r="H14" s="28" t="s">
        <v>136</v>
      </c>
      <c r="I14" s="21" t="s">
        <v>215</v>
      </c>
      <c r="J14" s="38"/>
    </row>
    <row r="15" spans="2:13" hidden="1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3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 hidden="1">
      <c r="B16" s="45" t="s">
        <v>141</v>
      </c>
      <c r="C16" s="21" t="s">
        <v>145</v>
      </c>
      <c r="D16" s="28" t="s">
        <v>9</v>
      </c>
      <c r="E16" s="28" t="s">
        <v>18</v>
      </c>
      <c r="F16" s="28">
        <v>0.5</v>
      </c>
      <c r="H16" s="28" t="s">
        <v>136</v>
      </c>
      <c r="K16" s="21" t="s">
        <v>230</v>
      </c>
      <c r="L16" s="21">
        <f>COUNTIF(I3:I77, K16)</f>
        <v>9</v>
      </c>
    </row>
    <row r="17" spans="2:12" hidden="1">
      <c r="B17" s="45" t="s">
        <v>141</v>
      </c>
      <c r="C17" s="21" t="s">
        <v>146</v>
      </c>
      <c r="D17" s="28" t="s">
        <v>9</v>
      </c>
      <c r="E17" s="28" t="s">
        <v>18</v>
      </c>
      <c r="F17" s="28">
        <v>1.5</v>
      </c>
      <c r="H17" s="28" t="s">
        <v>136</v>
      </c>
      <c r="K17" s="21" t="s">
        <v>231</v>
      </c>
      <c r="L17" s="21">
        <f>COUNTIF(I3:I77, K17)</f>
        <v>5</v>
      </c>
    </row>
    <row r="18" spans="2:12" hidden="1">
      <c r="B18" s="45" t="s">
        <v>141</v>
      </c>
      <c r="C18" s="21" t="s">
        <v>147</v>
      </c>
      <c r="D18" s="28" t="s">
        <v>9</v>
      </c>
      <c r="E18" s="28" t="s">
        <v>18</v>
      </c>
      <c r="F18" s="28">
        <v>2.5</v>
      </c>
      <c r="H18" s="28" t="s">
        <v>136</v>
      </c>
      <c r="K18" s="21" t="s">
        <v>232</v>
      </c>
      <c r="L18" s="21">
        <f>COUNTIF(I3:I77, K18)</f>
        <v>8</v>
      </c>
    </row>
    <row r="19" spans="2:12" hidden="1">
      <c r="B19" s="45" t="s">
        <v>141</v>
      </c>
      <c r="C19" s="21" t="s">
        <v>148</v>
      </c>
      <c r="D19" s="28" t="s">
        <v>9</v>
      </c>
      <c r="E19" s="28" t="s">
        <v>34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 hidden="1">
      <c r="B20" s="45" t="s">
        <v>141</v>
      </c>
      <c r="C20" s="21" t="s">
        <v>177</v>
      </c>
      <c r="D20" s="28" t="s">
        <v>9</v>
      </c>
      <c r="E20" s="28" t="s">
        <v>18</v>
      </c>
      <c r="F20" s="28">
        <v>3.5</v>
      </c>
      <c r="H20" s="28" t="s">
        <v>136</v>
      </c>
    </row>
    <row r="21" spans="2:12" hidden="1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2.5</v>
      </c>
      <c r="H21" s="28" t="s">
        <v>136</v>
      </c>
      <c r="I21" s="21" t="s">
        <v>215</v>
      </c>
    </row>
    <row r="22" spans="2:12" hidden="1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3.5</v>
      </c>
      <c r="H22" s="28" t="s">
        <v>136</v>
      </c>
      <c r="I22" s="21" t="s">
        <v>215</v>
      </c>
    </row>
    <row r="23" spans="2:12" hidden="1">
      <c r="B23" s="45" t="s">
        <v>141</v>
      </c>
      <c r="C23" s="21" t="s">
        <v>150</v>
      </c>
      <c r="D23" s="28" t="s">
        <v>17</v>
      </c>
      <c r="E23" s="28" t="s">
        <v>18</v>
      </c>
      <c r="F23" s="28">
        <v>1</v>
      </c>
      <c r="H23" s="28" t="s">
        <v>136</v>
      </c>
    </row>
    <row r="24" spans="2:12" hidden="1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0.5</v>
      </c>
      <c r="H24" s="28" t="s">
        <v>136</v>
      </c>
      <c r="I24" s="21" t="s">
        <v>215</v>
      </c>
    </row>
    <row r="25" spans="2:12" hidden="1">
      <c r="B25" s="45" t="s">
        <v>141</v>
      </c>
      <c r="C25" s="21" t="s">
        <v>155</v>
      </c>
      <c r="D25" s="28" t="s">
        <v>17</v>
      </c>
      <c r="E25" s="28" t="s">
        <v>18</v>
      </c>
      <c r="F25" s="28">
        <v>0.5</v>
      </c>
      <c r="H25" s="28" t="s">
        <v>136</v>
      </c>
    </row>
    <row r="26" spans="2:12" hidden="1">
      <c r="B26" s="45" t="s">
        <v>141</v>
      </c>
      <c r="C26" s="21" t="s">
        <v>156</v>
      </c>
      <c r="D26" s="28" t="s">
        <v>9</v>
      </c>
      <c r="E26" s="28" t="s">
        <v>18</v>
      </c>
      <c r="F26" s="28">
        <v>0.5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 hidden="1">
      <c r="B32" s="46" t="s">
        <v>152</v>
      </c>
      <c r="C32" s="21" t="s">
        <v>144</v>
      </c>
      <c r="D32" s="28" t="s">
        <v>17</v>
      </c>
      <c r="E32" s="28" t="s">
        <v>18</v>
      </c>
      <c r="F32" s="28">
        <v>0.5</v>
      </c>
      <c r="H32" s="28" t="s">
        <v>136</v>
      </c>
    </row>
    <row r="33" spans="2:9" hidden="1">
      <c r="B33" s="46" t="s">
        <v>152</v>
      </c>
      <c r="C33" s="21" t="s">
        <v>157</v>
      </c>
      <c r="D33" s="28" t="s">
        <v>9</v>
      </c>
      <c r="E33" s="28" t="s">
        <v>18</v>
      </c>
      <c r="F33" s="28">
        <v>0.5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 hidden="1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 hidden="1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 hidden="1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 hidden="1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 hidden="1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 hidden="1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 hidden="1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 hidden="1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 hidden="1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 hidden="1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 hidden="1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 hidden="1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 hidden="1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 hidden="1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 hidden="1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 hidden="1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 hidden="1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 hidden="1">
      <c r="B59" s="29" t="s">
        <v>181</v>
      </c>
      <c r="C59" s="21" t="s">
        <v>182</v>
      </c>
      <c r="D59" s="28" t="s">
        <v>49</v>
      </c>
      <c r="E59" s="28" t="s">
        <v>18</v>
      </c>
      <c r="H59" s="28" t="s">
        <v>136</v>
      </c>
      <c r="I59" s="21" t="s">
        <v>225</v>
      </c>
    </row>
    <row r="60" spans="1:9" hidden="1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 hidden="1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 hidden="1">
      <c r="B62" s="43" t="s">
        <v>186</v>
      </c>
      <c r="C62" s="21" t="s">
        <v>183</v>
      </c>
      <c r="D62" s="28" t="s">
        <v>9</v>
      </c>
      <c r="E62" s="28" t="s">
        <v>34</v>
      </c>
      <c r="H62" s="28" t="s">
        <v>136</v>
      </c>
      <c r="I62" s="21" t="s">
        <v>226</v>
      </c>
    </row>
    <row r="63" spans="1:9" hidden="1">
      <c r="B63" s="43" t="s">
        <v>186</v>
      </c>
      <c r="C63" s="25" t="s">
        <v>184</v>
      </c>
      <c r="D63" s="28" t="s">
        <v>17</v>
      </c>
      <c r="E63" s="28" t="s">
        <v>34</v>
      </c>
      <c r="H63" s="28" t="s">
        <v>136</v>
      </c>
      <c r="I63" s="21" t="s">
        <v>226</v>
      </c>
    </row>
    <row r="64" spans="1:9" hidden="1">
      <c r="B64" s="43" t="s">
        <v>186</v>
      </c>
      <c r="C64" s="21" t="s">
        <v>185</v>
      </c>
      <c r="D64" s="28" t="s">
        <v>9</v>
      </c>
      <c r="E64" s="28" t="s">
        <v>34</v>
      </c>
      <c r="H64" s="28" t="s">
        <v>136</v>
      </c>
      <c r="I64" s="21" t="s">
        <v>226</v>
      </c>
    </row>
    <row r="65" spans="2:9" hidden="1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 hidden="1">
      <c r="B66" s="43" t="s">
        <v>186</v>
      </c>
      <c r="C66" s="21" t="s">
        <v>192</v>
      </c>
      <c r="D66" s="28" t="s">
        <v>17</v>
      </c>
      <c r="E66" s="28" t="s">
        <v>34</v>
      </c>
      <c r="H66" s="28" t="s">
        <v>136</v>
      </c>
      <c r="I66" s="21" t="s">
        <v>226</v>
      </c>
    </row>
    <row r="67" spans="2:9" hidden="1">
      <c r="B67" s="43" t="s">
        <v>186</v>
      </c>
      <c r="C67" s="21" t="s">
        <v>193</v>
      </c>
      <c r="D67" s="28" t="s">
        <v>9</v>
      </c>
      <c r="E67" s="28" t="s">
        <v>34</v>
      </c>
      <c r="H67" s="28" t="s">
        <v>136</v>
      </c>
      <c r="I67" s="21" t="s">
        <v>226</v>
      </c>
    </row>
    <row r="68" spans="2:9" hidden="1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 hidden="1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 hidden="1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 hidden="1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idden="1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 hidden="1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 hidden="1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 hidden="1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 hidden="1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 hidden="1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>
    <filterColumn colId="8">
      <filters>
        <filter val="福田"/>
      </filters>
    </filterColumn>
  </autoFilter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8.7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2026-09-15T04:56:48Z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