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oharastudent-my.sharepoint.com/personal/fko2647001_stu_o-hara_ac_jp/Documents/デスクトップ/github/koukiteam/"/>
    </mc:Choice>
  </mc:AlternateContent>
  <xr:revisionPtr revIDLastSave="6" documentId="13_ncr:1_{10860E37-DFE9-43B9-A39A-A09F59C4CB10}" xr6:coauthVersionLast="47" xr6:coauthVersionMax="47" xr10:uidLastSave="{4C6D6FAE-542F-49D1-9A08-35E5CF20CBAA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<sst xmlns="http://schemas.openxmlformats.org/spreadsheetml/2006/main" count="797" uniqueCount="241">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</sst>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62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-0.13686534216335541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-0.14318706697459585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-0.14691943127962084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M77"/>
  <sheetViews>
    <sheetView tabSelected="1" zoomScale="85" zoomScaleNormal="85" workbookViewId="0">
      <selection activeCell="E79" sqref="E79"/>
    </sheetView>
  </sheetViews>
  <sheetFormatPr defaultColWidth="9"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37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 hidden="1">
      <c r="B3" s="43" t="s">
        <v>137</v>
      </c>
      <c r="C3" s="21" t="s">
        <v>138</v>
      </c>
      <c r="D3" s="28" t="s">
        <v>9</v>
      </c>
      <c r="E3" s="28" t="s">
        <v>18</v>
      </c>
      <c r="F3" s="28">
        <v>0.25</v>
      </c>
      <c r="H3" s="28" t="s">
        <v>136</v>
      </c>
      <c r="K3" s="34" t="s">
        <v>132</v>
      </c>
      <c r="L3" s="21">
        <f>SUM(L4,L5,L6)</f>
        <v>74</v>
      </c>
    </row>
    <row r="4" spans="2:13" hidden="1">
      <c r="B4" s="43" t="s">
        <v>137</v>
      </c>
      <c r="C4" s="21" t="s">
        <v>139</v>
      </c>
      <c r="D4" s="28" t="s">
        <v>17</v>
      </c>
      <c r="E4" s="28" t="s">
        <v>207</v>
      </c>
      <c r="F4" s="28">
        <v>0.25</v>
      </c>
      <c r="H4" s="28" t="s">
        <v>136</v>
      </c>
      <c r="K4" s="35" t="s">
        <v>126</v>
      </c>
      <c r="L4" s="39">
        <f>COUNTIF(E3:E77,K4)</f>
        <v>38</v>
      </c>
    </row>
    <row r="5" spans="2:13" hidden="1">
      <c r="B5" s="43" t="s">
        <v>137</v>
      </c>
      <c r="C5" s="21" t="s">
        <v>140</v>
      </c>
      <c r="D5" s="28" t="s">
        <v>9</v>
      </c>
      <c r="E5" s="28" t="s">
        <v>34</v>
      </c>
      <c r="F5" s="28">
        <v>0.25</v>
      </c>
      <c r="H5" s="28" t="s">
        <v>136</v>
      </c>
      <c r="K5" s="36" t="s">
        <v>1</v>
      </c>
      <c r="L5" s="39">
        <f>COUNTIF(E3:E77,K5)</f>
        <v>35</v>
      </c>
    </row>
    <row r="6" spans="2:13" hidden="1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 hidden="1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 hidden="1">
      <c r="B8" s="44" t="s">
        <v>159</v>
      </c>
      <c r="C8" s="21" t="s">
        <v>160</v>
      </c>
      <c r="D8" s="28" t="s">
        <v>17</v>
      </c>
      <c r="E8" s="28" t="s">
        <v>18</v>
      </c>
      <c r="F8" s="28">
        <v>0.25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 hidden="1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 hidden="1">
      <c r="B10" s="44" t="s">
        <v>159</v>
      </c>
      <c r="C10" s="21" t="s">
        <v>163</v>
      </c>
      <c r="D10" s="28" t="s">
        <v>17</v>
      </c>
      <c r="E10" s="28" t="s">
        <v>18</v>
      </c>
      <c r="F10" s="28">
        <v>0.5</v>
      </c>
      <c r="H10" s="28" t="s">
        <v>136</v>
      </c>
      <c r="K10" s="34" t="s">
        <v>134</v>
      </c>
      <c r="L10" s="21">
        <f>COUNTIF(H3:H77,K10)</f>
        <v>0</v>
      </c>
    </row>
    <row r="11" spans="2:13" hidden="1">
      <c r="B11" s="44" t="s">
        <v>159</v>
      </c>
      <c r="C11" s="21" t="s">
        <v>164</v>
      </c>
      <c r="D11" s="28" t="s">
        <v>17</v>
      </c>
      <c r="E11" s="28" t="s">
        <v>18</v>
      </c>
      <c r="F11" s="28">
        <v>0.5</v>
      </c>
      <c r="H11" s="28" t="s">
        <v>136</v>
      </c>
    </row>
    <row r="12" spans="2:13" hidden="1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62</v>
      </c>
    </row>
    <row r="13" spans="2:13" hidden="1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62</v>
      </c>
    </row>
    <row r="14" spans="2:13" hidden="1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6</v>
      </c>
      <c r="H14" s="28" t="s">
        <v>136</v>
      </c>
      <c r="I14" s="21" t="s">
        <v>215</v>
      </c>
      <c r="J14" s="38"/>
    </row>
    <row r="15" spans="2:13" hidden="1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 hidden="1">
      <c r="B16" s="45" t="s">
        <v>141</v>
      </c>
      <c r="C16" s="21" t="s">
        <v>145</v>
      </c>
      <c r="D16" s="28" t="s">
        <v>9</v>
      </c>
      <c r="E16" s="28" t="s">
        <v>18</v>
      </c>
      <c r="F16" s="28">
        <v>0.5</v>
      </c>
      <c r="H16" s="28" t="s">
        <v>136</v>
      </c>
      <c r="K16" s="21" t="s">
        <v>230</v>
      </c>
      <c r="L16" s="21">
        <f>COUNTIF(I3:I77, K16)</f>
        <v>9</v>
      </c>
    </row>
    <row r="17" spans="2:12" hidden="1">
      <c r="B17" s="45" t="s">
        <v>141</v>
      </c>
      <c r="C17" s="21" t="s">
        <v>146</v>
      </c>
      <c r="D17" s="28" t="s">
        <v>9</v>
      </c>
      <c r="E17" s="28" t="s">
        <v>18</v>
      </c>
      <c r="F17" s="28">
        <v>1.5</v>
      </c>
      <c r="H17" s="28" t="s">
        <v>136</v>
      </c>
      <c r="K17" s="21" t="s">
        <v>231</v>
      </c>
      <c r="L17" s="21">
        <f>COUNTIF(I3:I77, K17)</f>
        <v>5</v>
      </c>
    </row>
    <row r="18" spans="2:12" hidden="1">
      <c r="B18" s="45" t="s">
        <v>141</v>
      </c>
      <c r="C18" s="21" t="s">
        <v>147</v>
      </c>
      <c r="D18" s="28" t="s">
        <v>9</v>
      </c>
      <c r="E18" s="28" t="s">
        <v>18</v>
      </c>
      <c r="F18" s="28">
        <v>2.5</v>
      </c>
      <c r="H18" s="28" t="s">
        <v>136</v>
      </c>
      <c r="K18" s="21" t="s">
        <v>232</v>
      </c>
      <c r="L18" s="21">
        <f>COUNTIF(I3:I77, K18)</f>
        <v>8</v>
      </c>
    </row>
    <row r="19" spans="2:12" hidden="1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4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 hidden="1">
      <c r="B20" s="45" t="s">
        <v>141</v>
      </c>
      <c r="C20" s="21" t="s">
        <v>177</v>
      </c>
      <c r="D20" s="28" t="s">
        <v>9</v>
      </c>
      <c r="E20" s="28" t="s">
        <v>18</v>
      </c>
      <c r="F20" s="28">
        <v>3.5</v>
      </c>
      <c r="H20" s="28" t="s">
        <v>136</v>
      </c>
    </row>
    <row r="21" spans="2:12" hidden="1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 hidden="1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 hidden="1">
      <c r="B23" s="45" t="s">
        <v>141</v>
      </c>
      <c r="C23" s="21" t="s">
        <v>150</v>
      </c>
      <c r="D23" s="28" t="s">
        <v>17</v>
      </c>
      <c r="E23" s="28" t="s">
        <v>18</v>
      </c>
      <c r="F23" s="28">
        <v>1</v>
      </c>
      <c r="H23" s="28" t="s">
        <v>136</v>
      </c>
    </row>
    <row r="24" spans="2:12" hidden="1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 hidden="1">
      <c r="B25" s="45" t="s">
        <v>141</v>
      </c>
      <c r="C25" s="21" t="s">
        <v>155</v>
      </c>
      <c r="D25" s="28" t="s">
        <v>17</v>
      </c>
      <c r="E25" s="28" t="s">
        <v>18</v>
      </c>
      <c r="F25" s="28">
        <v>0.5</v>
      </c>
      <c r="H25" s="28" t="s">
        <v>136</v>
      </c>
    </row>
    <row r="26" spans="2:12" hidden="1">
      <c r="B26" s="45" t="s">
        <v>141</v>
      </c>
      <c r="C26" s="21" t="s">
        <v>156</v>
      </c>
      <c r="D26" s="28" t="s">
        <v>9</v>
      </c>
      <c r="E26" s="28" t="s">
        <v>18</v>
      </c>
      <c r="F26" s="28">
        <v>0.5</v>
      </c>
      <c r="H26" s="28" t="s">
        <v>136</v>
      </c>
    </row>
    <row r="27" spans="2:12" hidden="1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 hidden="1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 hidden="1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 hidden="1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 hidden="1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 hidden="1">
      <c r="B32" s="46" t="s">
        <v>152</v>
      </c>
      <c r="C32" s="21" t="s">
        <v>144</v>
      </c>
      <c r="D32" s="28" t="s">
        <v>17</v>
      </c>
      <c r="E32" s="28" t="s">
        <v>18</v>
      </c>
      <c r="F32" s="28">
        <v>0.5</v>
      </c>
      <c r="H32" s="28" t="s">
        <v>136</v>
      </c>
    </row>
    <row r="33" spans="2:9" hidden="1">
      <c r="B33" s="46" t="s">
        <v>152</v>
      </c>
      <c r="C33" s="21" t="s">
        <v>157</v>
      </c>
      <c r="D33" s="28" t="s">
        <v>9</v>
      </c>
      <c r="E33" s="28" t="s">
        <v>18</v>
      </c>
      <c r="F33" s="28">
        <v>0.5</v>
      </c>
      <c r="H33" s="28" t="s">
        <v>136</v>
      </c>
    </row>
    <row r="34" spans="2:9" hidden="1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 hidden="1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 hidden="1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 hidden="1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 hidden="1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 hidden="1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 hidden="1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 hidden="1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 hidden="1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 hidden="1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 hidden="1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 hidden="1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 hidden="1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 hidden="1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 hidden="1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 hidden="1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 hidden="1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 hidden="1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 hidden="1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 hidden="1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 hidden="1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 hidden="1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 hidden="1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 hidden="1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 hidden="1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 hidden="1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 hidden="1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 hidden="1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 hidden="1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 hidden="1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 hidden="1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 hidden="1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 hidden="1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idden="1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 hidden="1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 hidden="1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 hidden="1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 hidden="1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 hidden="1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>
    <filterColumn colId="8">
      <filters>
        <filter val="廣田"/>
      </filters>
    </filterColumn>
  </autoFilter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廣田　凌</cp:lastModifiedBy>
  <cp:revision/>
  <dcterms:created xsi:type="dcterms:W3CDTF">2015-06-05T18:19:34Z</dcterms:created>
  <dcterms:modified xsi:type="dcterms:W3CDTF">2026-09-15T07:41:04Z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