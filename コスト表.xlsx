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koukiteam\"/>
    </mc:Choice>
  </mc:AlternateContent>
  <xr:revisionPtr revIDLastSave="0" documentId="13_ncr:1_{10860E37-DFE9-43B9-A39A-A09F59C4CB10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<sst xmlns="http://schemas.openxmlformats.org/spreadsheetml/2006/main" count="797" uniqueCount="241">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</sst>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[Red]\(0\)"/>
    <numFmt numFmtId="165" formatCode="0.000"/>
  </numFmts>
  <fonts count="9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name val="Calibri"/>
      <family val="3"/>
      <charset val="128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5"/>
  <cols>
    <col min="1" max="1" width="32.7109375" bestFit="1" customWidth="1"/>
    <col min="2" max="2" width="46.42578125" bestFit="1" customWidth="1"/>
    <col min="3" max="3" width="11.7109375" style="15" bestFit="1" customWidth="1"/>
    <col min="4" max="4" width="15.28515625" style="15" bestFit="1" customWidth="1"/>
    <col min="5" max="5" width="7.42578125" bestFit="1" customWidth="1"/>
    <col min="6" max="6" width="9.28515625" bestFit="1" customWidth="1"/>
    <col min="7" max="7" width="7.5703125" customWidth="1"/>
    <col min="9" max="9" width="7.140625" bestFit="1" customWidth="1"/>
    <col min="10" max="10" width="33" bestFit="1" customWidth="1"/>
    <col min="11" max="11" width="17.285156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484</v>
      </c>
      <c r="L4" s="3">
        <f ca="1" xml:space="preserve"> K3 / K4</f>
        <v>5.4752066115702477E-2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46280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-453</v>
      </c>
      <c r="M9" s="3">
        <f ca="1">($K$2 - $K$3) / L9</f>
        <v>-0.20309050772626933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-433</v>
      </c>
      <c r="M10" s="3">
        <f ca="1">($K$2 - $K$3) / L10</f>
        <v>-0.21247113163972287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-422</v>
      </c>
      <c r="M11" s="3">
        <f ca="1">($K$2 - $K$3) / L11</f>
        <v>-0.21800947867298578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5"/>
  <cols>
    <col min="2" max="2" width="33" bestFit="1" customWidth="1"/>
    <col min="3" max="3" width="15" bestFit="1" customWidth="1"/>
    <col min="4" max="4" width="33.28515625" bestFit="1" customWidth="1"/>
    <col min="5" max="5" width="17.28515625" bestFit="1" customWidth="1"/>
  </cols>
  <sheetData>
    <row r="3" spans="2:5">
      <c r="B3" s="6" t="s">
        <v>7</v>
      </c>
      <c r="C3">
        <f>SUM(作業工数見積もり!F3:F103)</f>
        <v>52.5</v>
      </c>
    </row>
    <row r="4" spans="2:5">
      <c r="B4" s="7" t="s">
        <v>10</v>
      </c>
      <c r="C4">
        <f>SUMIF(作業工数見積もり!H3:H46,"完了",作業工数見積もり!F3:F46)</f>
        <v>0</v>
      </c>
      <c r="D4" t="s">
        <v>11</v>
      </c>
    </row>
    <row r="5" spans="2:5">
      <c r="B5" s="8" t="s">
        <v>13</v>
      </c>
      <c r="C5" s="2">
        <f ca="1">NETWORKDAYS(C6,C7)</f>
        <v>484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46280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-453</v>
      </c>
      <c r="E10" s="3">
        <f ca="1">($C$3 - $C$4) / D10</f>
        <v>-0.11589403973509933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-433</v>
      </c>
      <c r="E11" s="3">
        <f ca="1">($C$3 - $C$4) / D11</f>
        <v>-0.12124711316397228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-422</v>
      </c>
      <c r="E12" s="3">
        <f ca="1">($C$3 - $C$4) / D12</f>
        <v>-0.12440758293838862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7"/>
  <sheetViews>
    <sheetView tabSelected="1" zoomScale="85" zoomScaleNormal="85" workbookViewId="0">
      <selection activeCell="F24" sqref="F24"/>
    </sheetView>
  </sheetViews>
  <sheetFormatPr defaultColWidth="9" defaultRowHeight="15"/>
  <cols>
    <col min="1" max="1" width="32.7109375" style="21" bestFit="1" customWidth="1"/>
    <col min="2" max="2" width="41.85546875" style="21" bestFit="1" customWidth="1"/>
    <col min="3" max="3" width="42.140625" style="21" customWidth="1"/>
    <col min="4" max="4" width="11.7109375" style="28" bestFit="1" customWidth="1"/>
    <col min="5" max="5" width="15.28515625" style="28" bestFit="1" customWidth="1"/>
    <col min="6" max="7" width="13.42578125" style="28" bestFit="1" customWidth="1"/>
    <col min="8" max="8" width="15.28515625" style="28" bestFit="1" customWidth="1"/>
    <col min="9" max="9" width="9" style="21"/>
    <col min="10" max="10" width="15.5703125" style="21" customWidth="1"/>
    <col min="11" max="11" width="33" style="21" bestFit="1" customWidth="1"/>
    <col min="12" max="12" width="17.285156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F3" s="28">
        <v>0.25</v>
      </c>
      <c r="H3" s="28" t="s">
        <v>136</v>
      </c>
      <c r="K3" s="34" t="s">
        <v>132</v>
      </c>
      <c r="L3" s="21">
        <f>SUM(L4,L5,L6)</f>
        <v>74</v>
      </c>
    </row>
    <row r="4" spans="2:13">
      <c r="B4" s="43" t="s">
        <v>137</v>
      </c>
      <c r="C4" s="21" t="s">
        <v>139</v>
      </c>
      <c r="D4" s="28" t="s">
        <v>17</v>
      </c>
      <c r="E4" s="28" t="s">
        <v>207</v>
      </c>
      <c r="F4" s="28">
        <v>0.25</v>
      </c>
      <c r="H4" s="28" t="s">
        <v>136</v>
      </c>
      <c r="K4" s="35" t="s">
        <v>126</v>
      </c>
      <c r="L4" s="39">
        <f>COUNTIF(E3:E77,K4)</f>
        <v>38</v>
      </c>
    </row>
    <row r="5" spans="2:13">
      <c r="B5" s="43" t="s">
        <v>137</v>
      </c>
      <c r="C5" s="21" t="s">
        <v>140</v>
      </c>
      <c r="D5" s="28" t="s">
        <v>9</v>
      </c>
      <c r="E5" s="28" t="s">
        <v>34</v>
      </c>
      <c r="F5" s="28">
        <v>0.25</v>
      </c>
      <c r="H5" s="28" t="s">
        <v>136</v>
      </c>
      <c r="K5" s="36" t="s">
        <v>1</v>
      </c>
      <c r="L5" s="39">
        <f>COUNTIF(E3:E77,K5)</f>
        <v>35</v>
      </c>
    </row>
    <row r="6" spans="2:13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F8" s="28">
        <v>0.25</v>
      </c>
      <c r="H8" s="28" t="s">
        <v>136</v>
      </c>
      <c r="K8" s="32" t="s">
        <v>35</v>
      </c>
      <c r="L8" s="39">
        <f>COUNTIF(H3:H77,K8)</f>
        <v>0</v>
      </c>
      <c r="M8" s="40">
        <f>L8/L3</f>
        <v>0</v>
      </c>
    </row>
    <row r="9" spans="2:13">
      <c r="B9" s="44" t="s">
        <v>159</v>
      </c>
      <c r="C9" s="21" t="s">
        <v>162</v>
      </c>
      <c r="D9" s="28" t="s">
        <v>17</v>
      </c>
      <c r="E9" s="28" t="s">
        <v>34</v>
      </c>
      <c r="F9" s="28">
        <v>0.5</v>
      </c>
      <c r="H9" s="28" t="s">
        <v>136</v>
      </c>
      <c r="I9" s="21" t="s">
        <v>214</v>
      </c>
      <c r="K9" s="33" t="s">
        <v>133</v>
      </c>
      <c r="L9" s="39">
        <f>COUNTIF(H3:H77,K9)</f>
        <v>75</v>
      </c>
      <c r="M9" s="31">
        <f>(L9+L10)/L3</f>
        <v>1.0135135135135136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F10" s="28">
        <v>0.5</v>
      </c>
      <c r="H10" s="28" t="s">
        <v>136</v>
      </c>
      <c r="K10" s="34" t="s">
        <v>134</v>
      </c>
      <c r="L10" s="21">
        <f>COUNTIF(H3:H77,K10)</f>
        <v>0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F11" s="28">
        <v>0.5</v>
      </c>
      <c r="H11" s="28" t="s">
        <v>136</v>
      </c>
    </row>
    <row r="12" spans="2:13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H12" s="28" t="s">
        <v>136</v>
      </c>
      <c r="I12" s="21" t="s">
        <v>215</v>
      </c>
      <c r="K12" s="41" t="s">
        <v>228</v>
      </c>
      <c r="L12" s="21">
        <f>SUM(F3:F77)</f>
        <v>52.5</v>
      </c>
    </row>
    <row r="13" spans="2:13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H13" s="28" t="s">
        <v>136</v>
      </c>
      <c r="I13" s="21" t="s">
        <v>215</v>
      </c>
      <c r="K13" s="38" t="s">
        <v>135</v>
      </c>
      <c r="L13" s="21">
        <f>1*L12</f>
        <v>52.5</v>
      </c>
    </row>
    <row r="14" spans="2:13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6</v>
      </c>
      <c r="H14" s="28" t="s">
        <v>136</v>
      </c>
      <c r="I14" s="21" t="s">
        <v>215</v>
      </c>
      <c r="J14" s="38"/>
    </row>
    <row r="15" spans="2:13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F16" s="28">
        <v>0.5</v>
      </c>
      <c r="H16" s="28" t="s">
        <v>136</v>
      </c>
      <c r="K16" s="21" t="s">
        <v>230</v>
      </c>
      <c r="L16" s="21">
        <f>COUNTIF(I3:I77, K16)</f>
        <v>9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F17" s="28">
        <v>1.5</v>
      </c>
      <c r="H17" s="28" t="s">
        <v>136</v>
      </c>
      <c r="K17" s="21" t="s">
        <v>231</v>
      </c>
      <c r="L17" s="21">
        <f>COUNTIF(I3:I77, K17)</f>
        <v>5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F18" s="28">
        <v>2.5</v>
      </c>
      <c r="H18" s="28" t="s">
        <v>136</v>
      </c>
      <c r="K18" s="21" t="s">
        <v>232</v>
      </c>
      <c r="L18" s="21">
        <f>COUNTIF(I3:I77, K18)</f>
        <v>8</v>
      </c>
    </row>
    <row r="19" spans="2:12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4</v>
      </c>
      <c r="H19" s="28" t="s">
        <v>136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F20" s="28">
        <v>3.5</v>
      </c>
      <c r="H20" s="28" t="s">
        <v>136</v>
      </c>
    </row>
    <row r="21" spans="2:12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136</v>
      </c>
      <c r="I21" s="21" t="s">
        <v>215</v>
      </c>
    </row>
    <row r="22" spans="2:12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H22" s="28" t="s">
        <v>136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F23" s="28">
        <v>1</v>
      </c>
      <c r="H23" s="28" t="s">
        <v>136</v>
      </c>
    </row>
    <row r="24" spans="2:12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H24" s="28" t="s">
        <v>136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F25" s="28">
        <v>0.5</v>
      </c>
      <c r="H25" s="28" t="s">
        <v>136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F26" s="28">
        <v>0.5</v>
      </c>
      <c r="H26" s="28" t="s">
        <v>136</v>
      </c>
    </row>
    <row r="27" spans="2:12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F32" s="28">
        <v>0.5</v>
      </c>
      <c r="H32" s="28" t="s">
        <v>136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F33" s="28">
        <v>0.5</v>
      </c>
      <c r="H33" s="28" t="s">
        <v>136</v>
      </c>
    </row>
    <row r="34" spans="2:9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H50" s="28" t="s">
        <v>136</v>
      </c>
      <c r="I50" s="21" t="s">
        <v>216</v>
      </c>
    </row>
    <row r="51" spans="1:9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H51" s="28" t="s">
        <v>136</v>
      </c>
      <c r="I51" s="21" t="s">
        <v>216</v>
      </c>
    </row>
    <row r="52" spans="1:9">
      <c r="B52" s="50" t="s">
        <v>188</v>
      </c>
      <c r="C52" s="21" t="s">
        <v>189</v>
      </c>
      <c r="D52" s="28" t="s">
        <v>9</v>
      </c>
      <c r="E52" s="28" t="s">
        <v>34</v>
      </c>
      <c r="H52" s="28" t="s">
        <v>136</v>
      </c>
      <c r="I52" s="21" t="s">
        <v>216</v>
      </c>
    </row>
    <row r="53" spans="1:9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>
      <c r="B62" s="43" t="s">
        <v>186</v>
      </c>
      <c r="C62" s="21" t="s">
        <v>183</v>
      </c>
      <c r="D62" s="28" t="s">
        <v>9</v>
      </c>
      <c r="E62" s="28" t="s">
        <v>34</v>
      </c>
      <c r="H62" s="28" t="s">
        <v>136</v>
      </c>
      <c r="I62" s="21" t="s">
        <v>226</v>
      </c>
    </row>
    <row r="63" spans="1:9">
      <c r="B63" s="43" t="s">
        <v>186</v>
      </c>
      <c r="C63" s="25" t="s">
        <v>184</v>
      </c>
      <c r="D63" s="28" t="s">
        <v>17</v>
      </c>
      <c r="E63" s="28" t="s">
        <v>34</v>
      </c>
      <c r="H63" s="28" t="s">
        <v>136</v>
      </c>
      <c r="I63" s="21" t="s">
        <v>226</v>
      </c>
    </row>
    <row r="64" spans="1:9">
      <c r="B64" s="43" t="s">
        <v>186</v>
      </c>
      <c r="C64" s="21" t="s">
        <v>185</v>
      </c>
      <c r="D64" s="28" t="s">
        <v>9</v>
      </c>
      <c r="E64" s="28" t="s">
        <v>34</v>
      </c>
      <c r="H64" s="28" t="s">
        <v>136</v>
      </c>
      <c r="I64" s="21" t="s">
        <v>226</v>
      </c>
    </row>
    <row r="65" spans="2:9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>
      <c r="B66" s="43" t="s">
        <v>186</v>
      </c>
      <c r="C66" s="21" t="s">
        <v>192</v>
      </c>
      <c r="D66" s="28" t="s">
        <v>17</v>
      </c>
      <c r="E66" s="28" t="s">
        <v>34</v>
      </c>
      <c r="H66" s="28" t="s">
        <v>136</v>
      </c>
      <c r="I66" s="21" t="s">
        <v>226</v>
      </c>
    </row>
    <row r="67" spans="2:9">
      <c r="B67" s="43" t="s">
        <v>186</v>
      </c>
      <c r="C67" s="21" t="s">
        <v>193</v>
      </c>
      <c r="D67" s="28" t="s">
        <v>9</v>
      </c>
      <c r="E67" s="28" t="s">
        <v>34</v>
      </c>
      <c r="H67" s="28" t="s">
        <v>136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 ht="18.75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/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2026-09-15T07:31:54Z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