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kubotananato\Documents\GitHub\koukiteam\"/>
    </mc:Choice>
  </mc:AlternateContent>
  <xr:revisionPtr revIDLastSave="0" documentId="13_ncr:1_{CA6C2CB6-5C5B-492B-B87B-1E81C5E920C7}" xr6:coauthVersionLast="47" xr6:coauthVersionMax="47" xr10:uidLastSave="{00000000-0000-0000-0000-000000000000}"/>
  <bookViews>
    <workbookView xWindow="4470" yWindow="900" windowWidth="21600" windowHeight="11295" firstSheet="2" activeTab="2" xr2:uid="{00000000-000D-0000-FFFF-FFFF00000000}"/>
  </bookViews>
  <sheets>
    <sheet name="1125_元データ" sheetId="4" r:id="rId1"/>
    <sheet name="概要" sheetId="5" r:id="rId2"/>
    <sheet name="作業工数見積もり" sheetId="1" r:id="rId3"/>
    <sheet name="Sheet1" sheetId="6" r:id="rId4"/>
  </sheets>
  <definedNames>
    <definedName name="_xlnm._FilterDatabase" localSheetId="0" hidden="1">'1125_元データ'!$B$2:$G$106</definedName>
    <definedName name="_xlnm._FilterDatabase" localSheetId="2" hidden="1">作業工数見積もり!$A$2:$I$77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1" l="1"/>
  <c r="L18" i="1"/>
  <c r="L17" i="1"/>
  <c r="L16" i="1"/>
  <c r="L15" i="1"/>
  <c r="L9" i="1"/>
  <c r="L12" i="1"/>
  <c r="L13" i="1" s="1"/>
  <c r="L4" i="1"/>
  <c r="L5" i="1"/>
  <c r="L6" i="1"/>
  <c r="L10" i="1"/>
  <c r="L8" i="1"/>
  <c r="C3" i="5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L3" i="1" l="1"/>
  <c r="M8" i="1" s="1"/>
  <c r="E12" i="5"/>
  <c r="K4" i="4"/>
  <c r="L4" i="4" s="1"/>
  <c r="D5" i="5"/>
  <c r="E10" i="5"/>
  <c r="E11" i="5"/>
  <c r="M10" i="4"/>
  <c r="M9" i="4"/>
  <c r="M11" i="4"/>
  <c r="M9" i="1" l="1"/>
</calcChain>
</file>

<file path=xl/sharedStrings.xml><?xml version="1.0" encoding="utf-8"?>
<sst xmlns="http://schemas.openxmlformats.org/spreadsheetml/2006/main" count="797" uniqueCount="243">
  <si>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</si>
  <si>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</si>
  <si>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</si>
  <si>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</si>
  <si>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</si>
  <si>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</si>
  <si>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</si>
  <si>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</si>
  <si>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</si>
  <si>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</si>
  <si>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</si>
  <si>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</si>
  <si>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</si>
  <si>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</si>
  <si>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</si>
  <si>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</si>
  <si>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</si>
  <si>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</si>
  <si>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</si>
  <si>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</si>
  <si>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</si>
  <si>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</si>
  <si>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</si>
  <si>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</si>
  <si>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</si>
  <si>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</si>
  <si>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</si>
  <si>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</si>
  <si>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</si>
  <si>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</si>
  <si>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</si>
  <si>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</si>
  <si>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</si>
  <si>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</si>
  <si>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</si>
  <si>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</si>
  <si>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</si>
  <si>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</si>
  <si>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</si>
  <si>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</si>
  <si>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</si>
  <si>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</si>
  <si>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</si>
  <si>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</si>
  <si>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</si>
  <si>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</si>
  <si>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</si>
  <si>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</si>
  <si>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</si>
  <si>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</si>
  <si>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</si>
  <si>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</si>
  <si>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</si>
  <si>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</si>
  <si>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</si>
  <si>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</si>
  <si>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</si>
  <si>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</si>
  <si>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</si>
  <si>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</si>
  <si>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</si>
  <si>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</si>
  <si>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</si>
  <si>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</si>
  <si>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</si>
  <si>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</si>
  <si>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</si>
  <si>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</si>
  <si>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</si>
  <si>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</si>
  <si>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</si>
  <si>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</si>
  <si>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</si>
  <si>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</si>
  <si>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</si>
  <si>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</si>
  <si>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</si>
  <si>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</si>
  <si>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</si>
  <si>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</si>
  <si>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</si>
  <si>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</si>
  <si>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</si>
  <si>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</si>
  <si>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</si>
  <si>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</si>
  <si>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</si>
  <si>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</si>
  <si>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</si>
  <si>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</si>
  <si>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</si>
  <si>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</si>
  <si>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</si>
  <si>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</si>
  <si>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</si>
  <si>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</si>
  <si>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</si>
  <si>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</si>
  <si>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</si>
  <si>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</si>
  <si>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</si>
  <si>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</si>
  <si>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</si>
  <si>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</si>
  <si>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</si>
  <si>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</si>
  <si>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</si>
  <si>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</si>
  <si>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</si>
  <si>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</si>
  <si>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</si>
  <si>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</si>
  <si>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</si>
  <si>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</si>
  <si>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</si>
  <si>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</si>
  <si>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</si>
  <si>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</si>
  <si>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</si>
  <si>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</si>
  <si>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</si>
  <si>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</si>
  <si>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</si>
  <si>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</si>
  <si>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</si>
  <si>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</si>
  <si>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</si>
  <si>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</si>
  <si>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</si>
  <si>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</si>
  <si>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</si>
  <si>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ステータス</t>
    <phoneticPr fontId="1"/>
  </si>
  <si>
    <t>全体の作業項目数</t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</si>
  <si>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</si>
  <si>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</si>
  <si>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作成にかかる時間</t>
  </si>
  <si>
    <t>未着手</t>
    <phoneticPr fontId="1"/>
  </si>
  <si>
    <t>企画</t>
    <rPh sb="0" eb="2">
      <t>キカク</t>
    </rPh>
    <phoneticPr fontId="1"/>
  </si>
  <si>
    <t>ステージ・敵・ギミックの配置設計</t>
    <rPh sb="5" eb="6">
      <t>テキ</t>
    </rPh>
    <rPh sb="12" eb="14">
      <t>ハイチ</t>
    </rPh>
    <rPh sb="14" eb="16">
      <t>セッケイ</t>
    </rPh>
    <phoneticPr fontId="1"/>
  </si>
  <si>
    <t>レベルデザイン</t>
    <phoneticPr fontId="1"/>
  </si>
  <si>
    <t>仕様書の作成</t>
    <rPh sb="0" eb="3">
      <t>シヨウショ</t>
    </rPh>
    <rPh sb="4" eb="6">
      <t>サクセイ</t>
    </rPh>
    <phoneticPr fontId="1"/>
  </si>
  <si>
    <t>プレイヤー</t>
    <phoneticPr fontId="1"/>
  </si>
  <si>
    <t>カメラ</t>
    <phoneticPr fontId="1"/>
  </si>
  <si>
    <t>移動</t>
    <rPh sb="0" eb="2">
      <t>イドウ</t>
    </rPh>
    <phoneticPr fontId="1"/>
  </si>
  <si>
    <t>オブジェクトとの当たり判定</t>
    <rPh sb="8" eb="9">
      <t>ア</t>
    </rPh>
    <rPh sb="11" eb="13">
      <t>ハンテイ</t>
    </rPh>
    <phoneticPr fontId="1"/>
  </si>
  <si>
    <t>殴り攻撃</t>
    <rPh sb="0" eb="1">
      <t>ナグ</t>
    </rPh>
    <rPh sb="2" eb="4">
      <t>コウゲキ</t>
    </rPh>
    <phoneticPr fontId="1"/>
  </si>
  <si>
    <t>武器の取得</t>
    <rPh sb="0" eb="2">
      <t>ブキ</t>
    </rPh>
    <rPh sb="3" eb="5">
      <t>シュトク</t>
    </rPh>
    <phoneticPr fontId="1"/>
  </si>
  <si>
    <t>武器投げ</t>
    <rPh sb="0" eb="2">
      <t>ブキ</t>
    </rPh>
    <rPh sb="2" eb="3">
      <t>ナ</t>
    </rPh>
    <phoneticPr fontId="1"/>
  </si>
  <si>
    <t>ピストル撃つ</t>
    <rPh sb="4" eb="5">
      <t>ウ</t>
    </rPh>
    <phoneticPr fontId="1"/>
  </si>
  <si>
    <t>死亡処理</t>
    <rPh sb="0" eb="4">
      <t>シボウショリ</t>
    </rPh>
    <phoneticPr fontId="1"/>
  </si>
  <si>
    <t>エフェクト（銃）</t>
    <rPh sb="6" eb="7">
      <t>ジュウ</t>
    </rPh>
    <phoneticPr fontId="1"/>
  </si>
  <si>
    <t>レティクル</t>
    <phoneticPr fontId="1"/>
  </si>
  <si>
    <t>エネミーベース</t>
    <phoneticPr fontId="1"/>
  </si>
  <si>
    <t>ダメージ</t>
    <phoneticPr fontId="1"/>
  </si>
  <si>
    <t>プレイヤー検知</t>
    <rPh sb="5" eb="7">
      <t>ケンチ</t>
    </rPh>
    <phoneticPr fontId="1"/>
  </si>
  <si>
    <t>ステータス管理</t>
    <rPh sb="5" eb="7">
      <t>カンリ</t>
    </rPh>
    <phoneticPr fontId="1"/>
  </si>
  <si>
    <t>アニメーション</t>
    <phoneticPr fontId="1"/>
  </si>
  <si>
    <t>敵どうしの当たり判定</t>
    <rPh sb="0" eb="1">
      <t>テキ</t>
    </rPh>
    <rPh sb="5" eb="6">
      <t>ア</t>
    </rPh>
    <rPh sb="8" eb="10">
      <t>ハンテイ</t>
    </rPh>
    <phoneticPr fontId="1"/>
  </si>
  <si>
    <t>弾の処理</t>
    <rPh sb="0" eb="1">
      <t>タマ</t>
    </rPh>
    <rPh sb="2" eb="4">
      <t>ショリ</t>
    </rPh>
    <phoneticPr fontId="1"/>
  </si>
  <si>
    <t>キャラ共通</t>
    <rPh sb="3" eb="5">
      <t>キョウツウ</t>
    </rPh>
    <phoneticPr fontId="1"/>
  </si>
  <si>
    <t>弾と武器の当たり判定</t>
    <rPh sb="0" eb="1">
      <t>タマ</t>
    </rPh>
    <rPh sb="2" eb="4">
      <t>ブキ</t>
    </rPh>
    <rPh sb="5" eb="6">
      <t>ア</t>
    </rPh>
    <rPh sb="8" eb="10">
      <t>ハンテイ</t>
    </rPh>
    <phoneticPr fontId="1"/>
  </si>
  <si>
    <t>タイムスケールの設定</t>
    <rPh sb="8" eb="10">
      <t>セッテイ</t>
    </rPh>
    <phoneticPr fontId="1"/>
  </si>
  <si>
    <t>弾とオブジェクトの当たり判定</t>
    <rPh sb="0" eb="1">
      <t>タマ</t>
    </rPh>
    <rPh sb="9" eb="10">
      <t>ア</t>
    </rPh>
    <rPh sb="12" eb="14">
      <t>ハンテイ</t>
    </rPh>
    <phoneticPr fontId="1"/>
  </si>
  <si>
    <t>武器とオブジェクトの当たり判定</t>
    <rPh sb="0" eb="2">
      <t>ブキ</t>
    </rPh>
    <rPh sb="10" eb="11">
      <t>ア</t>
    </rPh>
    <rPh sb="13" eb="15">
      <t>ハンテイ</t>
    </rPh>
    <phoneticPr fontId="1"/>
  </si>
  <si>
    <t>オブジェクトどうしの当たり判定</t>
    <rPh sb="10" eb="11">
      <t>ア</t>
    </rPh>
    <rPh sb="13" eb="15">
      <t>ハンテイ</t>
    </rPh>
    <phoneticPr fontId="1"/>
  </si>
  <si>
    <t>エネミー（武器なし）</t>
    <rPh sb="5" eb="7">
      <t>ブキ</t>
    </rPh>
    <phoneticPr fontId="1"/>
  </si>
  <si>
    <t>攻撃範囲までの移動</t>
    <rPh sb="0" eb="2">
      <t>コウゲキ</t>
    </rPh>
    <rPh sb="2" eb="4">
      <t>ハンイ</t>
    </rPh>
    <rPh sb="7" eb="9">
      <t>イドウ</t>
    </rPh>
    <phoneticPr fontId="1"/>
  </si>
  <si>
    <t>エネミー（銃持ち）</t>
    <rPh sb="5" eb="7">
      <t>ジュウモ</t>
    </rPh>
    <phoneticPr fontId="1"/>
  </si>
  <si>
    <t>射撃場所までの移動</t>
    <rPh sb="0" eb="2">
      <t>シャゲキ</t>
    </rPh>
    <rPh sb="2" eb="4">
      <t>バショ</t>
    </rPh>
    <rPh sb="7" eb="9">
      <t>イドウ</t>
    </rPh>
    <phoneticPr fontId="1"/>
  </si>
  <si>
    <t>プレイヤーの追跡</t>
    <rPh sb="6" eb="8">
      <t>ツイセキ</t>
    </rPh>
    <phoneticPr fontId="1"/>
  </si>
  <si>
    <t>プレイヤーとの位置調整</t>
    <rPh sb="7" eb="11">
      <t>イチチョウセイ</t>
    </rPh>
    <phoneticPr fontId="1"/>
  </si>
  <si>
    <t>弾にタイムスケール設定</t>
    <rPh sb="0" eb="1">
      <t>タマ</t>
    </rPh>
    <rPh sb="9" eb="11">
      <t>セッテイ</t>
    </rPh>
    <phoneticPr fontId="1"/>
  </si>
  <si>
    <t>弾どうしの当たり判定</t>
    <phoneticPr fontId="1"/>
  </si>
  <si>
    <t>タイムスケール</t>
    <phoneticPr fontId="1"/>
  </si>
  <si>
    <t>動いているか判定（時間を止める）</t>
    <rPh sb="0" eb="1">
      <t>ウゴ</t>
    </rPh>
    <rPh sb="6" eb="8">
      <t>ハンテイ</t>
    </rPh>
    <rPh sb="9" eb="11">
      <t>ジカン</t>
    </rPh>
    <rPh sb="12" eb="13">
      <t>ト</t>
    </rPh>
    <phoneticPr fontId="1"/>
  </si>
  <si>
    <t>弾のエフェクト（残像みたいなやつ）</t>
    <rPh sb="0" eb="1">
      <t>タマ</t>
    </rPh>
    <rPh sb="8" eb="10">
      <t>ザンゾウ</t>
    </rPh>
    <phoneticPr fontId="1"/>
  </si>
  <si>
    <t>弾撃つ処理（クールタイムや生成数・散乱の違いで武器の種類増やせる）</t>
    <rPh sb="0" eb="2">
      <t>タマウ</t>
    </rPh>
    <rPh sb="3" eb="5">
      <t>ショリ</t>
    </rPh>
    <rPh sb="13" eb="16">
      <t>セイセイスウ</t>
    </rPh>
    <rPh sb="17" eb="19">
      <t>サンラン</t>
    </rPh>
    <rPh sb="20" eb="21">
      <t>チガ</t>
    </rPh>
    <rPh sb="23" eb="25">
      <t>ブキ</t>
    </rPh>
    <rPh sb="26" eb="28">
      <t>シュルイ</t>
    </rPh>
    <rPh sb="28" eb="29">
      <t>フ</t>
    </rPh>
    <phoneticPr fontId="1"/>
  </si>
  <si>
    <t>弾切れ</t>
    <rPh sb="0" eb="2">
      <t>タマギ</t>
    </rPh>
    <phoneticPr fontId="1"/>
  </si>
  <si>
    <t>殴られ時のひるみ・武器ドロップ</t>
    <rPh sb="0" eb="1">
      <t>ナグ</t>
    </rPh>
    <rPh sb="3" eb="4">
      <t>ジ</t>
    </rPh>
    <rPh sb="9" eb="11">
      <t>ブキ</t>
    </rPh>
    <phoneticPr fontId="1"/>
  </si>
  <si>
    <t>近くの武器取得</t>
    <rPh sb="0" eb="1">
      <t>チカ</t>
    </rPh>
    <rPh sb="3" eb="7">
      <t>ブキシュトク</t>
    </rPh>
    <phoneticPr fontId="1"/>
  </si>
  <si>
    <t>ヒットエフェクト</t>
    <phoneticPr fontId="1"/>
  </si>
  <si>
    <t>UI</t>
    <phoneticPr fontId="1"/>
  </si>
  <si>
    <t>キーマウ・パッド対応（余裕あれば）</t>
    <rPh sb="8" eb="10">
      <t>タイオウ</t>
    </rPh>
    <rPh sb="11" eb="13">
      <t>ヨユウ</t>
    </rPh>
    <phoneticPr fontId="1"/>
  </si>
  <si>
    <t>タイトル画面</t>
    <rPh sb="4" eb="6">
      <t>ガメン</t>
    </rPh>
    <phoneticPr fontId="1"/>
  </si>
  <si>
    <t>ステージセレクト</t>
    <phoneticPr fontId="1"/>
  </si>
  <si>
    <t>リトライ</t>
    <phoneticPr fontId="1"/>
  </si>
  <si>
    <t>ゲーム進行</t>
    <rPh sb="3" eb="5">
      <t>シンコウ</t>
    </rPh>
    <phoneticPr fontId="1"/>
  </si>
  <si>
    <t>エネミー生成・配置</t>
    <rPh sb="4" eb="6">
      <t>セイセイ</t>
    </rPh>
    <rPh sb="7" eb="9">
      <t>ハイチ</t>
    </rPh>
    <phoneticPr fontId="1"/>
  </si>
  <si>
    <t>ゲーム管理</t>
    <rPh sb="3" eb="5">
      <t>カンリ</t>
    </rPh>
    <phoneticPr fontId="1"/>
  </si>
  <si>
    <t>敵の撃破数</t>
    <rPh sb="0" eb="1">
      <t>テキ</t>
    </rPh>
    <rPh sb="2" eb="5">
      <t>ゲキハスウ</t>
    </rPh>
    <phoneticPr fontId="1"/>
  </si>
  <si>
    <t>リプレイの保存</t>
    <rPh sb="5" eb="7">
      <t>ホゾン</t>
    </rPh>
    <phoneticPr fontId="1"/>
  </si>
  <si>
    <t>タイムスケール管理</t>
    <rPh sb="7" eb="9">
      <t>カンリ</t>
    </rPh>
    <phoneticPr fontId="1"/>
  </si>
  <si>
    <t>リザルト（リプレイ表示⇒スコア表示）</t>
    <rPh sb="9" eb="11">
      <t>ヒョウジ</t>
    </rPh>
    <rPh sb="15" eb="17">
      <t>ヒョウジ</t>
    </rPh>
    <phoneticPr fontId="1"/>
  </si>
  <si>
    <t>シーン遷移・フェード</t>
    <rPh sb="3" eb="5">
      <t>センイ</t>
    </rPh>
    <phoneticPr fontId="1"/>
  </si>
  <si>
    <t>セーブ（最高スコアとか余裕あれば）</t>
    <rPh sb="4" eb="6">
      <t>サイコウ</t>
    </rPh>
    <rPh sb="11" eb="13">
      <t>ヨユウ</t>
    </rPh>
    <phoneticPr fontId="1"/>
  </si>
  <si>
    <t>オーディオ</t>
    <phoneticPr fontId="1"/>
  </si>
  <si>
    <t>BGM再生・切り替え</t>
    <rPh sb="3" eb="5">
      <t>サイセイ</t>
    </rPh>
    <rPh sb="6" eb="7">
      <t>キ</t>
    </rPh>
    <rPh sb="8" eb="9">
      <t>カ</t>
    </rPh>
    <phoneticPr fontId="1"/>
  </si>
  <si>
    <t>効果音再生</t>
    <rPh sb="0" eb="3">
      <t>コウカオン</t>
    </rPh>
    <rPh sb="3" eb="5">
      <t>サイセイ</t>
    </rPh>
    <phoneticPr fontId="1"/>
  </si>
  <si>
    <t>設定画面（少なくとも感度設定はいるかも）</t>
    <rPh sb="0" eb="4">
      <t>セッテイガメン</t>
    </rPh>
    <rPh sb="5" eb="6">
      <t>スク</t>
    </rPh>
    <rPh sb="10" eb="14">
      <t>カンドセッテイ</t>
    </rPh>
    <phoneticPr fontId="1"/>
  </si>
  <si>
    <t>素材探し</t>
    <rPh sb="0" eb="3">
      <t>ソザイサガ</t>
    </rPh>
    <phoneticPr fontId="1"/>
  </si>
  <si>
    <t>モデル</t>
    <phoneticPr fontId="1"/>
  </si>
  <si>
    <t>BGM</t>
    <phoneticPr fontId="1"/>
  </si>
  <si>
    <t>効果音</t>
    <rPh sb="0" eb="3">
      <t>コウカオン</t>
    </rPh>
    <phoneticPr fontId="1"/>
  </si>
  <si>
    <t>エフェクト</t>
    <phoneticPr fontId="1"/>
  </si>
  <si>
    <t>ステージ</t>
    <phoneticPr fontId="1"/>
  </si>
  <si>
    <t>オブジェクトの配置</t>
    <rPh sb="7" eb="9">
      <t>ハイチ</t>
    </rPh>
    <phoneticPr fontId="1"/>
  </si>
  <si>
    <t>敵の出現位置の配置</t>
    <rPh sb="0" eb="1">
      <t>テキ</t>
    </rPh>
    <rPh sb="2" eb="4">
      <t>シュツゲン</t>
    </rPh>
    <rPh sb="4" eb="6">
      <t>イチ</t>
    </rPh>
    <rPh sb="7" eb="9">
      <t>ハイチ</t>
    </rPh>
    <phoneticPr fontId="1"/>
  </si>
  <si>
    <t>ベータ</t>
    <phoneticPr fontId="1"/>
  </si>
  <si>
    <t>ステータス管理（HPとか）</t>
    <rPh sb="5" eb="7">
      <t>カンリ</t>
    </rPh>
    <phoneticPr fontId="1"/>
  </si>
  <si>
    <t>操作説明（プレイ画面）</t>
    <rPh sb="0" eb="2">
      <t>ソウサ</t>
    </rPh>
    <rPh sb="2" eb="4">
      <t>セツメイ</t>
    </rPh>
    <rPh sb="8" eb="10">
      <t>ガメン</t>
    </rPh>
    <phoneticPr fontId="1"/>
  </si>
  <si>
    <t>操作説明（メニューから）余裕あれば</t>
    <rPh sb="0" eb="4">
      <t>ソウサセツメイ</t>
    </rPh>
    <rPh sb="12" eb="14">
      <t>ヨユウ</t>
    </rPh>
    <phoneticPr fontId="1"/>
  </si>
  <si>
    <t>3Dサウンド（FPSだしゲーム性的にあってもいいかも）</t>
    <rPh sb="15" eb="17">
      <t>セイテキ</t>
    </rPh>
    <phoneticPr fontId="1"/>
  </si>
  <si>
    <t>担当者</t>
    <rPh sb="0" eb="3">
      <t>タントウシャ</t>
    </rPh>
    <phoneticPr fontId="1"/>
  </si>
  <si>
    <t>ステージ数はプロト終わるまで様子見にする</t>
    <rPh sb="4" eb="5">
      <t>スウ</t>
    </rPh>
    <rPh sb="9" eb="10">
      <t>オ</t>
    </rPh>
    <rPh sb="14" eb="17">
      <t>ヨウスミ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</si>
  <si>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</si>
  <si>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</si>
  <si>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玉利</t>
    <rPh sb="0" eb="2">
      <t>タマリ</t>
    </rPh>
    <phoneticPr fontId="1"/>
  </si>
  <si>
    <t>リプレイ</t>
    <phoneticPr fontId="1"/>
  </si>
  <si>
    <t>松本</t>
    <rPh sb="0" eb="2">
      <t>マツモト</t>
    </rPh>
    <phoneticPr fontId="1"/>
  </si>
  <si>
    <t>ゲーム内でのスコア表示</t>
    <rPh sb="3" eb="4">
      <t>ナイ</t>
    </rPh>
    <rPh sb="9" eb="11">
      <t>ヒョウジ</t>
    </rPh>
    <phoneticPr fontId="1"/>
  </si>
  <si>
    <t>撃破数表示</t>
    <rPh sb="0" eb="5">
      <t>ゲキハスウヒョウジ</t>
    </rPh>
    <phoneticPr fontId="1"/>
  </si>
  <si>
    <t>ここは何ステージつくるかによるが、簡易的なステージを作成し、以降はアルファでいいと思う</t>
    <rPh sb="3" eb="4">
      <t>ナン</t>
    </rPh>
    <rPh sb="17" eb="20">
      <t>カンイテキ</t>
    </rPh>
    <rPh sb="26" eb="28">
      <t>サクセイ</t>
    </rPh>
    <rPh sb="30" eb="32">
      <t>イコウ</t>
    </rPh>
    <rPh sb="41" eb="42">
      <t>オモ</t>
    </rPh>
    <phoneticPr fontId="1"/>
  </si>
  <si>
    <t>松本</t>
    <rPh sb="0" eb="2">
      <t>マツモト</t>
    </rPh>
    <phoneticPr fontId="1"/>
  </si>
  <si>
    <t>リプレイの再生</t>
    <rPh sb="5" eb="7">
      <t>サイセイ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</si>
  <si>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</si>
  <si>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</si>
  <si>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</si>
  <si>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見積コスト</t>
    <rPh sb="0" eb="2">
      <t>ミツモリ</t>
    </rPh>
    <phoneticPr fontId="1"/>
  </si>
  <si>
    <t>全体の見積コスト</t>
    <rPh sb="3" eb="5">
      <t>ミツ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</si>
  <si>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</si>
  <si>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</si>
  <si>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</si>
  <si>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松本</t>
    <rPh sb="0" eb="2">
      <t>マツモト</t>
    </rPh>
    <phoneticPr fontId="1"/>
  </si>
  <si>
    <t>玉利</t>
    <rPh sb="0" eb="2">
      <t>タマリ</t>
    </rPh>
    <phoneticPr fontId="1"/>
  </si>
  <si>
    <t>月</t>
    <rPh sb="0" eb="1">
      <t>ゲツ</t>
    </rPh>
    <phoneticPr fontId="1"/>
  </si>
  <si>
    <t>火</t>
  </si>
  <si>
    <t>水</t>
  </si>
  <si>
    <t>木</t>
  </si>
  <si>
    <t>金</t>
  </si>
  <si>
    <t>土</t>
  </si>
  <si>
    <t>日</t>
    <rPh sb="0" eb="1">
      <t>ニチ</t>
    </rPh>
    <phoneticPr fontId="1"/>
  </si>
  <si>
    <t>完了</t>
  </si>
  <si>
    <t>作業中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</si>
</sst>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);[Red]\(0\)"/>
    <numFmt numFmtId="165" formatCode="0.000"/>
  </numFmts>
  <fonts count="9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name val="Calibri"/>
      <family val="3"/>
      <charset val="128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3"/>
      <charset val="128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Yu Gothic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6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3" fillId="12" borderId="3" xfId="0" applyFont="1" applyFill="1" applyBorder="1"/>
    <xf numFmtId="0" fontId="5" fillId="13" borderId="3" xfId="0" applyFont="1" applyFill="1" applyBorder="1"/>
    <xf numFmtId="0" fontId="5" fillId="13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6" borderId="3" xfId="0" applyFill="1" applyBorder="1"/>
    <xf numFmtId="14" fontId="0" fillId="0" borderId="3" xfId="0" applyNumberFormat="1" applyBorder="1"/>
    <xf numFmtId="9" fontId="0" fillId="12" borderId="3" xfId="1" applyFont="1" applyFill="1" applyBorder="1" applyAlignment="1"/>
    <xf numFmtId="0" fontId="2" fillId="15" borderId="3" xfId="0" applyFont="1" applyFill="1" applyBorder="1" applyAlignment="1">
      <alignment horizontal="center" vertical="center"/>
    </xf>
    <xf numFmtId="0" fontId="2" fillId="17" borderId="3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18" borderId="3" xfId="0" applyFont="1" applyFill="1" applyBorder="1"/>
    <xf numFmtId="0" fontId="2" fillId="19" borderId="3" xfId="0" applyFont="1" applyFill="1" applyBorder="1"/>
    <xf numFmtId="0" fontId="2" fillId="14" borderId="3" xfId="0" applyFont="1" applyFill="1" applyBorder="1"/>
    <xf numFmtId="0" fontId="2" fillId="12" borderId="3" xfId="0" applyFont="1" applyFill="1" applyBorder="1" applyAlignment="1">
      <alignment horizontal="center"/>
    </xf>
    <xf numFmtId="0" fontId="0" fillId="12" borderId="3" xfId="1" applyNumberFormat="1" applyFont="1" applyFill="1" applyBorder="1" applyAlignment="1"/>
    <xf numFmtId="9" fontId="0" fillId="12" borderId="3" xfId="0" applyNumberFormat="1" applyFill="1" applyBorder="1"/>
    <xf numFmtId="0" fontId="7" fillId="12" borderId="3" xfId="0" applyFont="1" applyFill="1" applyBorder="1"/>
    <xf numFmtId="0" fontId="8" fillId="0" borderId="3" xfId="0" applyFont="1" applyBorder="1"/>
    <xf numFmtId="0" fontId="0" fillId="20" borderId="3" xfId="0" applyFill="1" applyBorder="1"/>
    <xf numFmtId="0" fontId="0" fillId="9" borderId="3" xfId="0" applyFill="1" applyBorder="1"/>
    <xf numFmtId="0" fontId="0" fillId="21" borderId="3" xfId="0" applyFill="1" applyBorder="1"/>
    <xf numFmtId="0" fontId="0" fillId="11" borderId="3" xfId="0" applyFill="1" applyBorder="1"/>
    <xf numFmtId="0" fontId="0" fillId="22" borderId="3" xfId="0" applyFill="1" applyBorder="1"/>
    <xf numFmtId="0" fontId="0" fillId="23" borderId="3" xfId="0" applyFill="1" applyBorder="1"/>
    <xf numFmtId="0" fontId="0" fillId="24" borderId="3" xfId="0" applyFill="1" applyBorder="1"/>
    <xf numFmtId="0" fontId="0" fillId="25" borderId="3" xfId="0" applyFill="1" applyBorder="1"/>
    <xf numFmtId="0" fontId="0" fillId="26" borderId="3" xfId="0" applyFill="1" applyBorder="1"/>
    <xf numFmtId="0" fontId="0" fillId="20" borderId="0" xfId="0" applyFill="1"/>
    <xf numFmtId="0" fontId="0" fillId="21" borderId="0" xfId="0" applyFill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003399"/>
      <color rgb="FF9933FF"/>
      <color rgb="FF66FFFF"/>
      <color rgb="FFFF99FF"/>
      <color rgb="FFFF66FF"/>
      <color rgb="FFFFFFCC"/>
      <color rgb="FFFF3300"/>
      <color rgb="FF33CCFF"/>
      <color rgb="FF99FF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5"/>
  <cols>
    <col min="1" max="1" width="32.7109375" bestFit="1" customWidth="1"/>
    <col min="2" max="2" width="46.42578125" bestFit="1" customWidth="1"/>
    <col min="3" max="3" width="11.7109375" style="15" bestFit="1" customWidth="1"/>
    <col min="4" max="4" width="15.28515625" style="15" bestFit="1" customWidth="1"/>
    <col min="5" max="5" width="7.42578125" bestFit="1" customWidth="1"/>
    <col min="6" max="6" width="9.28515625" bestFit="1" customWidth="1"/>
    <col min="7" max="7" width="7.5703125" customWidth="1"/>
    <col min="9" max="9" width="7.140625" bestFit="1" customWidth="1"/>
    <col min="10" max="10" width="33" bestFit="1" customWidth="1"/>
    <col min="11" max="11" width="17.285156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496</v>
      </c>
      <c r="L4" s="3">
        <f ca="1" xml:space="preserve"> K3 / K4</f>
        <v>5.3427419354838711E-2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46296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-465</v>
      </c>
      <c r="M9" s="3">
        <f ca="1">($K$2 - $K$3) / L9</f>
        <v>-0.19784946236559139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-445</v>
      </c>
      <c r="M10" s="3">
        <f ca="1">($K$2 - $K$3) / L10</f>
        <v>-0.20674157303370785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-434</v>
      </c>
      <c r="M11" s="3">
        <f ca="1">($K$2 - $K$3) / L11</f>
        <v>-0.2119815668202765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25" sqref="C25"/>
    </sheetView>
  </sheetViews>
  <sheetFormatPr defaultRowHeight="15"/>
  <cols>
    <col min="2" max="2" width="33" bestFit="1" customWidth="1"/>
    <col min="3" max="3" width="15" bestFit="1" customWidth="1"/>
    <col min="4" max="4" width="33.28515625" bestFit="1" customWidth="1"/>
    <col min="5" max="5" width="17.28515625" bestFit="1" customWidth="1"/>
  </cols>
  <sheetData>
    <row r="3" spans="2:5">
      <c r="B3" s="6" t="s">
        <v>7</v>
      </c>
      <c r="C3">
        <f>SUM(作業工数見積もり!F3:F103)</f>
        <v>50.5</v>
      </c>
    </row>
    <row r="4" spans="2:5">
      <c r="B4" s="7" t="s">
        <v>10</v>
      </c>
      <c r="C4">
        <f>SUMIF(作業工数見積もり!H3:H46,"完了",作業工数見積もり!F3:F46)</f>
        <v>11</v>
      </c>
      <c r="D4" t="s">
        <v>11</v>
      </c>
    </row>
    <row r="5" spans="2:5">
      <c r="B5" s="8" t="s">
        <v>13</v>
      </c>
      <c r="C5" s="2">
        <f ca="1">NETWORKDAYS(C6,C7)</f>
        <v>496</v>
      </c>
      <c r="D5" s="3">
        <f ca="1" xml:space="preserve"> C4 / C5</f>
        <v>2.2177419354838711E-2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46296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-465</v>
      </c>
      <c r="E10" s="3">
        <f ca="1">($C$3 - $C$4) / D10</f>
        <v>-8.4946236559139784E-2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-445</v>
      </c>
      <c r="E11" s="3">
        <f ca="1">($C$3 - $C$4) / D11</f>
        <v>-8.8764044943820231E-2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-434</v>
      </c>
      <c r="E12" s="3">
        <f ca="1">($C$3 - $C$4) / D12</f>
        <v>-9.1013824884792621E-2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0">
        <v>45631</v>
      </c>
    </row>
    <row r="25" spans="2:4">
      <c r="B25" s="21" t="s">
        <v>1</v>
      </c>
      <c r="C25" s="30">
        <v>45662</v>
      </c>
    </row>
    <row r="26" spans="2:4">
      <c r="B26" s="21" t="s">
        <v>127</v>
      </c>
      <c r="C26" s="30">
        <v>45677</v>
      </c>
    </row>
    <row r="27" spans="2:4">
      <c r="B27" s="21" t="s">
        <v>128</v>
      </c>
      <c r="C27" s="30">
        <v>45682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7"/>
  <sheetViews>
    <sheetView tabSelected="1" topLeftCell="A4" zoomScale="85" zoomScaleNormal="85" workbookViewId="0">
      <selection activeCell="H24" sqref="H24"/>
    </sheetView>
  </sheetViews>
  <sheetFormatPr defaultColWidth="9" defaultRowHeight="15"/>
  <cols>
    <col min="1" max="1" width="32.7109375" style="21" bestFit="1" customWidth="1"/>
    <col min="2" max="2" width="41.85546875" style="21" bestFit="1" customWidth="1"/>
    <col min="3" max="3" width="42.140625" style="21" customWidth="1"/>
    <col min="4" max="4" width="11.7109375" style="28" bestFit="1" customWidth="1"/>
    <col min="5" max="5" width="15.28515625" style="28" bestFit="1" customWidth="1"/>
    <col min="6" max="7" width="13.42578125" style="28" bestFit="1" customWidth="1"/>
    <col min="8" max="8" width="15.28515625" style="28" bestFit="1" customWidth="1"/>
    <col min="9" max="9" width="9" style="21"/>
    <col min="10" max="10" width="15.5703125" style="21" customWidth="1"/>
    <col min="11" max="11" width="33" style="21" bestFit="1" customWidth="1"/>
    <col min="12" max="12" width="17.28515625" style="21" bestFit="1" customWidth="1"/>
    <col min="13" max="13" width="19" style="21" bestFit="1" customWidth="1"/>
    <col min="14" max="16384" width="9" style="21"/>
  </cols>
  <sheetData>
    <row r="2" spans="2:13">
      <c r="B2" s="26" t="s">
        <v>129</v>
      </c>
      <c r="C2" s="26" t="s">
        <v>130</v>
      </c>
      <c r="D2" s="27" t="s">
        <v>2</v>
      </c>
      <c r="E2" s="27" t="s">
        <v>3</v>
      </c>
      <c r="F2" s="27" t="s">
        <v>227</v>
      </c>
      <c r="G2" s="27" t="s">
        <v>5</v>
      </c>
      <c r="H2" s="27" t="s">
        <v>131</v>
      </c>
      <c r="I2" s="26" t="s">
        <v>212</v>
      </c>
    </row>
    <row r="3" spans="2:13">
      <c r="B3" s="43" t="s">
        <v>137</v>
      </c>
      <c r="C3" s="21" t="s">
        <v>138</v>
      </c>
      <c r="D3" s="28" t="s">
        <v>9</v>
      </c>
      <c r="E3" s="28" t="s">
        <v>18</v>
      </c>
      <c r="H3" s="28" t="s">
        <v>136</v>
      </c>
      <c r="K3" s="34" t="s">
        <v>132</v>
      </c>
      <c r="L3" s="21">
        <f>SUM(L4,L5,L6)</f>
        <v>74</v>
      </c>
    </row>
    <row r="4" spans="2:13">
      <c r="B4" s="43" t="s">
        <v>137</v>
      </c>
      <c r="C4" s="21" t="s">
        <v>139</v>
      </c>
      <c r="D4" s="28" t="s">
        <v>17</v>
      </c>
      <c r="E4" s="28" t="s">
        <v>207</v>
      </c>
      <c r="H4" s="28" t="s">
        <v>136</v>
      </c>
      <c r="K4" s="35" t="s">
        <v>126</v>
      </c>
      <c r="L4" s="39">
        <f>COUNTIF(E3:E77,K4)</f>
        <v>38</v>
      </c>
    </row>
    <row r="5" spans="2:13">
      <c r="B5" s="43" t="s">
        <v>137</v>
      </c>
      <c r="C5" s="21" t="s">
        <v>140</v>
      </c>
      <c r="D5" s="28" t="s">
        <v>9</v>
      </c>
      <c r="E5" s="28" t="s">
        <v>34</v>
      </c>
      <c r="H5" s="28" t="s">
        <v>136</v>
      </c>
      <c r="K5" s="36" t="s">
        <v>1</v>
      </c>
      <c r="L5" s="39">
        <f>COUNTIF(E3:E77,K5)</f>
        <v>35</v>
      </c>
    </row>
    <row r="6" spans="2:13">
      <c r="B6" s="44" t="s">
        <v>159</v>
      </c>
      <c r="C6" s="21" t="s">
        <v>173</v>
      </c>
      <c r="D6" s="28" t="s">
        <v>9</v>
      </c>
      <c r="E6" s="28" t="s">
        <v>34</v>
      </c>
      <c r="F6" s="28">
        <v>1</v>
      </c>
      <c r="H6" s="28" t="s">
        <v>136</v>
      </c>
      <c r="I6" s="21" t="s">
        <v>214</v>
      </c>
      <c r="K6" s="37" t="s">
        <v>127</v>
      </c>
      <c r="L6" s="39">
        <f>COUNTIF(E3:E77,K6)</f>
        <v>1</v>
      </c>
    </row>
    <row r="7" spans="2:13">
      <c r="B7" s="44" t="s">
        <v>159</v>
      </c>
      <c r="C7" s="21" t="s">
        <v>172</v>
      </c>
      <c r="D7" s="28" t="s">
        <v>17</v>
      </c>
      <c r="E7" s="28" t="s">
        <v>34</v>
      </c>
      <c r="F7" s="28">
        <v>1</v>
      </c>
      <c r="H7" s="28" t="s">
        <v>136</v>
      </c>
      <c r="I7" s="21" t="s">
        <v>214</v>
      </c>
      <c r="K7" s="37"/>
      <c r="L7" s="39"/>
    </row>
    <row r="8" spans="2:13">
      <c r="B8" s="44" t="s">
        <v>159</v>
      </c>
      <c r="C8" s="21" t="s">
        <v>160</v>
      </c>
      <c r="D8" s="28" t="s">
        <v>17</v>
      </c>
      <c r="E8" s="28" t="s">
        <v>18</v>
      </c>
      <c r="H8" s="28" t="s">
        <v>136</v>
      </c>
      <c r="K8" s="32" t="s">
        <v>35</v>
      </c>
      <c r="L8" s="39">
        <f>COUNTIF(H3:H77,K8)</f>
        <v>6</v>
      </c>
      <c r="M8" s="40">
        <f>L8/L3</f>
        <v>8.1081081081081086E-2</v>
      </c>
    </row>
    <row r="9" spans="2:13">
      <c r="B9" s="44" t="s">
        <v>159</v>
      </c>
      <c r="C9" s="21" t="s">
        <v>162</v>
      </c>
      <c r="D9" s="28" t="s">
        <v>17</v>
      </c>
      <c r="E9" s="28" t="s">
        <v>34</v>
      </c>
      <c r="F9" s="28">
        <v>1</v>
      </c>
      <c r="H9" s="28" t="s">
        <v>136</v>
      </c>
      <c r="I9" s="21" t="s">
        <v>214</v>
      </c>
      <c r="K9" s="33" t="s">
        <v>133</v>
      </c>
      <c r="L9" s="39">
        <f>COUNTIF(H3:H77,K9)</f>
        <v>68</v>
      </c>
      <c r="M9" s="31">
        <f>(L9+L10)/L3</f>
        <v>0.93243243243243246</v>
      </c>
    </row>
    <row r="10" spans="2:13">
      <c r="B10" s="44" t="s">
        <v>159</v>
      </c>
      <c r="C10" s="21" t="s">
        <v>163</v>
      </c>
      <c r="D10" s="28" t="s">
        <v>17</v>
      </c>
      <c r="E10" s="28" t="s">
        <v>18</v>
      </c>
      <c r="H10" s="28" t="s">
        <v>136</v>
      </c>
      <c r="K10" s="34" t="s">
        <v>134</v>
      </c>
      <c r="L10" s="21">
        <f>COUNTIF(H3:H77,K10)</f>
        <v>1</v>
      </c>
    </row>
    <row r="11" spans="2:13">
      <c r="B11" s="44" t="s">
        <v>159</v>
      </c>
      <c r="C11" s="21" t="s">
        <v>164</v>
      </c>
      <c r="D11" s="28" t="s">
        <v>17</v>
      </c>
      <c r="E11" s="28" t="s">
        <v>18</v>
      </c>
      <c r="H11" s="28" t="s">
        <v>136</v>
      </c>
    </row>
    <row r="12" spans="2:13">
      <c r="B12" s="45" t="s">
        <v>141</v>
      </c>
      <c r="C12" s="21" t="s">
        <v>142</v>
      </c>
      <c r="D12" s="28" t="s">
        <v>9</v>
      </c>
      <c r="E12" s="28" t="s">
        <v>34</v>
      </c>
      <c r="F12" s="28">
        <v>1</v>
      </c>
      <c r="G12" s="28">
        <v>0.5</v>
      </c>
      <c r="H12" s="28" t="s">
        <v>241</v>
      </c>
      <c r="I12" s="21" t="s">
        <v>215</v>
      </c>
      <c r="K12" s="41" t="s">
        <v>228</v>
      </c>
      <c r="L12" s="21">
        <f>SUM(F3:F77)</f>
        <v>50.5</v>
      </c>
    </row>
    <row r="13" spans="2:13">
      <c r="B13" s="45" t="s">
        <v>141</v>
      </c>
      <c r="C13" s="21" t="s">
        <v>143</v>
      </c>
      <c r="D13" s="28" t="s">
        <v>9</v>
      </c>
      <c r="E13" s="28" t="s">
        <v>34</v>
      </c>
      <c r="F13" s="28">
        <v>1</v>
      </c>
      <c r="G13" s="28">
        <v>0.5</v>
      </c>
      <c r="H13" s="28" t="s">
        <v>241</v>
      </c>
      <c r="I13" s="21" t="s">
        <v>215</v>
      </c>
      <c r="K13" s="38" t="s">
        <v>135</v>
      </c>
      <c r="L13" s="21">
        <f>1*L12</f>
        <v>50.5</v>
      </c>
    </row>
    <row r="14" spans="2:13">
      <c r="B14" s="45" t="s">
        <v>141</v>
      </c>
      <c r="C14" s="21" t="s">
        <v>174</v>
      </c>
      <c r="D14" s="28" t="s">
        <v>9</v>
      </c>
      <c r="E14" s="28" t="s">
        <v>34</v>
      </c>
      <c r="F14" s="28">
        <v>4</v>
      </c>
      <c r="G14" s="28">
        <v>2</v>
      </c>
      <c r="H14" s="28" t="s">
        <v>241</v>
      </c>
      <c r="I14" s="21" t="s">
        <v>215</v>
      </c>
      <c r="J14" s="38"/>
    </row>
    <row r="15" spans="2:13">
      <c r="B15" s="45" t="s">
        <v>141</v>
      </c>
      <c r="C15" s="21" t="s">
        <v>144</v>
      </c>
      <c r="D15" s="28" t="s">
        <v>9</v>
      </c>
      <c r="E15" s="28" t="s">
        <v>34</v>
      </c>
      <c r="F15" s="28">
        <v>1</v>
      </c>
      <c r="H15" s="28" t="s">
        <v>136</v>
      </c>
      <c r="I15" s="21" t="s">
        <v>215</v>
      </c>
      <c r="J15" s="38"/>
      <c r="K15" s="21" t="s">
        <v>229</v>
      </c>
      <c r="L15" s="21">
        <f>COUNTIF(I3:I77, K15)</f>
        <v>16</v>
      </c>
    </row>
    <row r="16" spans="2:13">
      <c r="B16" s="45" t="s">
        <v>141</v>
      </c>
      <c r="C16" s="21" t="s">
        <v>145</v>
      </c>
      <c r="D16" s="28" t="s">
        <v>9</v>
      </c>
      <c r="E16" s="28" t="s">
        <v>18</v>
      </c>
      <c r="H16" s="28" t="s">
        <v>136</v>
      </c>
      <c r="K16" s="21" t="s">
        <v>230</v>
      </c>
      <c r="L16" s="21">
        <f>COUNTIF(I3:I77, K16)</f>
        <v>9</v>
      </c>
    </row>
    <row r="17" spans="2:12">
      <c r="B17" s="45" t="s">
        <v>141</v>
      </c>
      <c r="C17" s="21" t="s">
        <v>146</v>
      </c>
      <c r="D17" s="28" t="s">
        <v>9</v>
      </c>
      <c r="E17" s="28" t="s">
        <v>18</v>
      </c>
      <c r="H17" s="28" t="s">
        <v>136</v>
      </c>
      <c r="K17" s="21" t="s">
        <v>231</v>
      </c>
      <c r="L17" s="21">
        <f>COUNTIF(I3:I77, K17)</f>
        <v>5</v>
      </c>
    </row>
    <row r="18" spans="2:12">
      <c r="B18" s="45" t="s">
        <v>141</v>
      </c>
      <c r="C18" s="21" t="s">
        <v>147</v>
      </c>
      <c r="D18" s="28" t="s">
        <v>9</v>
      </c>
      <c r="E18" s="28" t="s">
        <v>18</v>
      </c>
      <c r="H18" s="28" t="s">
        <v>136</v>
      </c>
      <c r="K18" s="21" t="s">
        <v>232</v>
      </c>
      <c r="L18" s="21">
        <f>COUNTIF(I3:I77, K18)</f>
        <v>8</v>
      </c>
    </row>
    <row r="19" spans="2:12">
      <c r="B19" s="45" t="s">
        <v>141</v>
      </c>
      <c r="C19" s="21" t="s">
        <v>148</v>
      </c>
      <c r="D19" s="28" t="s">
        <v>9</v>
      </c>
      <c r="E19" s="28" t="s">
        <v>34</v>
      </c>
      <c r="F19" s="28">
        <v>3</v>
      </c>
      <c r="G19" s="28">
        <v>2</v>
      </c>
      <c r="H19" s="28" t="s">
        <v>241</v>
      </c>
      <c r="I19" s="21" t="s">
        <v>215</v>
      </c>
      <c r="K19" s="21" t="s">
        <v>233</v>
      </c>
      <c r="L19" s="21">
        <f>COUNTIF(I3:I77, K19)</f>
        <v>4</v>
      </c>
    </row>
    <row r="20" spans="2:12">
      <c r="B20" s="45" t="s">
        <v>141</v>
      </c>
      <c r="C20" s="21" t="s">
        <v>177</v>
      </c>
      <c r="D20" s="28" t="s">
        <v>9</v>
      </c>
      <c r="E20" s="28" t="s">
        <v>18</v>
      </c>
      <c r="H20" s="28" t="s">
        <v>136</v>
      </c>
    </row>
    <row r="21" spans="2:12">
      <c r="B21" s="45" t="s">
        <v>141</v>
      </c>
      <c r="C21" s="21" t="s">
        <v>158</v>
      </c>
      <c r="D21" s="28" t="s">
        <v>9</v>
      </c>
      <c r="E21" s="28" t="s">
        <v>34</v>
      </c>
      <c r="F21" s="28">
        <v>4</v>
      </c>
      <c r="H21" s="28" t="s">
        <v>242</v>
      </c>
      <c r="I21" s="21" t="s">
        <v>215</v>
      </c>
    </row>
    <row r="22" spans="2:12">
      <c r="B22" s="45" t="s">
        <v>141</v>
      </c>
      <c r="C22" s="21" t="s">
        <v>149</v>
      </c>
      <c r="D22" s="28" t="s">
        <v>9</v>
      </c>
      <c r="E22" s="28" t="s">
        <v>34</v>
      </c>
      <c r="F22" s="28">
        <v>1</v>
      </c>
      <c r="G22" s="28">
        <v>0.5</v>
      </c>
      <c r="H22" s="28" t="s">
        <v>241</v>
      </c>
      <c r="I22" s="21" t="s">
        <v>215</v>
      </c>
    </row>
    <row r="23" spans="2:12">
      <c r="B23" s="45" t="s">
        <v>141</v>
      </c>
      <c r="C23" s="21" t="s">
        <v>150</v>
      </c>
      <c r="D23" s="28" t="s">
        <v>17</v>
      </c>
      <c r="E23" s="28" t="s">
        <v>18</v>
      </c>
      <c r="H23" s="28" t="s">
        <v>136</v>
      </c>
    </row>
    <row r="24" spans="2:12">
      <c r="B24" s="45" t="s">
        <v>141</v>
      </c>
      <c r="C24" s="21" t="s">
        <v>151</v>
      </c>
      <c r="D24" s="28" t="s">
        <v>17</v>
      </c>
      <c r="E24" s="28" t="s">
        <v>34</v>
      </c>
      <c r="F24" s="28">
        <v>1</v>
      </c>
      <c r="G24" s="28">
        <v>0.5</v>
      </c>
      <c r="H24" s="28" t="s">
        <v>241</v>
      </c>
      <c r="I24" s="21" t="s">
        <v>215</v>
      </c>
    </row>
    <row r="25" spans="2:12">
      <c r="B25" s="45" t="s">
        <v>141</v>
      </c>
      <c r="C25" s="21" t="s">
        <v>155</v>
      </c>
      <c r="D25" s="28" t="s">
        <v>17</v>
      </c>
      <c r="E25" s="28" t="s">
        <v>18</v>
      </c>
      <c r="H25" s="28" t="s">
        <v>136</v>
      </c>
    </row>
    <row r="26" spans="2:12">
      <c r="B26" s="45" t="s">
        <v>141</v>
      </c>
      <c r="C26" s="21" t="s">
        <v>156</v>
      </c>
      <c r="D26" s="28" t="s">
        <v>9</v>
      </c>
      <c r="E26" s="28" t="s">
        <v>18</v>
      </c>
      <c r="H26" s="28" t="s">
        <v>136</v>
      </c>
    </row>
    <row r="27" spans="2:12">
      <c r="B27" s="46" t="s">
        <v>152</v>
      </c>
      <c r="C27" s="21" t="s">
        <v>143</v>
      </c>
      <c r="D27" s="28" t="s">
        <v>9</v>
      </c>
      <c r="E27" s="28" t="s">
        <v>34</v>
      </c>
      <c r="F27" s="28">
        <v>1</v>
      </c>
      <c r="H27" s="28" t="s">
        <v>136</v>
      </c>
      <c r="I27" s="21" t="s">
        <v>214</v>
      </c>
    </row>
    <row r="28" spans="2:12">
      <c r="B28" s="46" t="s">
        <v>152</v>
      </c>
      <c r="C28" s="21" t="s">
        <v>154</v>
      </c>
      <c r="D28" s="28" t="s">
        <v>9</v>
      </c>
      <c r="E28" s="28" t="s">
        <v>34</v>
      </c>
      <c r="F28" s="28">
        <v>1</v>
      </c>
      <c r="H28" s="28" t="s">
        <v>136</v>
      </c>
      <c r="I28" s="21" t="s">
        <v>214</v>
      </c>
    </row>
    <row r="29" spans="2:12">
      <c r="B29" s="46" t="s">
        <v>152</v>
      </c>
      <c r="C29" s="21" t="s">
        <v>153</v>
      </c>
      <c r="D29" s="28" t="s">
        <v>9</v>
      </c>
      <c r="E29" s="28" t="s">
        <v>34</v>
      </c>
      <c r="F29" s="28">
        <v>1</v>
      </c>
      <c r="H29" s="28" t="s">
        <v>136</v>
      </c>
      <c r="I29" s="21" t="s">
        <v>214</v>
      </c>
    </row>
    <row r="30" spans="2:12">
      <c r="B30" s="46" t="s">
        <v>152</v>
      </c>
      <c r="C30" s="21" t="s">
        <v>149</v>
      </c>
      <c r="D30" s="28" t="s">
        <v>9</v>
      </c>
      <c r="E30" s="28" t="s">
        <v>34</v>
      </c>
      <c r="F30" s="28">
        <v>0.5</v>
      </c>
      <c r="H30" s="28" t="s">
        <v>136</v>
      </c>
      <c r="I30" s="21" t="s">
        <v>214</v>
      </c>
    </row>
    <row r="31" spans="2:12">
      <c r="B31" s="46" t="s">
        <v>152</v>
      </c>
      <c r="C31" s="21" t="s">
        <v>208</v>
      </c>
      <c r="D31" s="28" t="s">
        <v>17</v>
      </c>
      <c r="E31" s="28" t="s">
        <v>34</v>
      </c>
      <c r="F31" s="28">
        <v>0.5</v>
      </c>
      <c r="H31" s="28" t="s">
        <v>136</v>
      </c>
      <c r="I31" s="21" t="s">
        <v>214</v>
      </c>
    </row>
    <row r="32" spans="2:12">
      <c r="B32" s="46" t="s">
        <v>152</v>
      </c>
      <c r="C32" s="21" t="s">
        <v>144</v>
      </c>
      <c r="D32" s="28" t="s">
        <v>17</v>
      </c>
      <c r="E32" s="28" t="s">
        <v>18</v>
      </c>
      <c r="H32" s="28" t="s">
        <v>136</v>
      </c>
    </row>
    <row r="33" spans="2:9">
      <c r="B33" s="46" t="s">
        <v>152</v>
      </c>
      <c r="C33" s="21" t="s">
        <v>157</v>
      </c>
      <c r="D33" s="28" t="s">
        <v>9</v>
      </c>
      <c r="E33" s="28" t="s">
        <v>18</v>
      </c>
      <c r="H33" s="28" t="s">
        <v>136</v>
      </c>
    </row>
    <row r="34" spans="2:9">
      <c r="B34" s="46" t="s">
        <v>152</v>
      </c>
      <c r="C34" s="21" t="s">
        <v>161</v>
      </c>
      <c r="D34" s="28" t="s">
        <v>9</v>
      </c>
      <c r="E34" s="28" t="s">
        <v>34</v>
      </c>
      <c r="F34" s="28">
        <v>0.5</v>
      </c>
      <c r="H34" s="28" t="s">
        <v>136</v>
      </c>
      <c r="I34" s="21" t="s">
        <v>214</v>
      </c>
    </row>
    <row r="35" spans="2:9">
      <c r="B35" s="46" t="s">
        <v>152</v>
      </c>
      <c r="C35" s="21" t="s">
        <v>180</v>
      </c>
      <c r="D35" s="28" t="s">
        <v>17</v>
      </c>
      <c r="E35" s="28" t="s">
        <v>18</v>
      </c>
      <c r="H35" s="28" t="s">
        <v>136</v>
      </c>
    </row>
    <row r="36" spans="2:9">
      <c r="B36" s="46" t="s">
        <v>152</v>
      </c>
      <c r="C36" s="21" t="s">
        <v>187</v>
      </c>
      <c r="D36" s="28" t="s">
        <v>9</v>
      </c>
      <c r="E36" s="28" t="s">
        <v>34</v>
      </c>
      <c r="F36" s="28">
        <v>0.5</v>
      </c>
      <c r="H36" s="28" t="s">
        <v>136</v>
      </c>
      <c r="I36" s="21" t="s">
        <v>216</v>
      </c>
    </row>
    <row r="37" spans="2:9">
      <c r="B37" s="47" t="s">
        <v>165</v>
      </c>
      <c r="C37" s="21" t="s">
        <v>166</v>
      </c>
      <c r="D37" s="28" t="s">
        <v>9</v>
      </c>
      <c r="E37" s="28" t="s">
        <v>18</v>
      </c>
      <c r="F37" s="21"/>
      <c r="G37" s="21"/>
      <c r="H37" s="28" t="s">
        <v>136</v>
      </c>
    </row>
    <row r="38" spans="2:9">
      <c r="B38" s="47" t="s">
        <v>165</v>
      </c>
      <c r="C38" s="21" t="s">
        <v>169</v>
      </c>
      <c r="D38" s="28" t="s">
        <v>17</v>
      </c>
      <c r="E38" s="28" t="s">
        <v>18</v>
      </c>
      <c r="F38" s="21"/>
      <c r="G38" s="21"/>
      <c r="H38" s="28" t="s">
        <v>136</v>
      </c>
    </row>
    <row r="39" spans="2:9">
      <c r="B39" s="47" t="s">
        <v>165</v>
      </c>
      <c r="C39" s="21" t="s">
        <v>145</v>
      </c>
      <c r="D39" s="28" t="s">
        <v>9</v>
      </c>
      <c r="E39" s="28" t="s">
        <v>18</v>
      </c>
      <c r="F39" s="21"/>
      <c r="G39" s="21"/>
      <c r="H39" s="28" t="s">
        <v>136</v>
      </c>
    </row>
    <row r="40" spans="2:9">
      <c r="B40" s="47" t="s">
        <v>165</v>
      </c>
      <c r="C40" s="21" t="s">
        <v>179</v>
      </c>
      <c r="D40" s="28" t="s">
        <v>17</v>
      </c>
      <c r="E40" s="28" t="s">
        <v>18</v>
      </c>
      <c r="F40" s="21"/>
      <c r="G40" s="21"/>
      <c r="H40" s="28" t="s">
        <v>136</v>
      </c>
    </row>
    <row r="41" spans="2:9">
      <c r="B41" s="47" t="s">
        <v>165</v>
      </c>
      <c r="C41" s="21" t="s">
        <v>156</v>
      </c>
      <c r="D41" s="28" t="s">
        <v>9</v>
      </c>
      <c r="E41" s="28" t="s">
        <v>18</v>
      </c>
      <c r="H41" s="28" t="s">
        <v>136</v>
      </c>
    </row>
    <row r="42" spans="2:9">
      <c r="B42" s="48" t="s">
        <v>167</v>
      </c>
      <c r="C42" s="21" t="s">
        <v>168</v>
      </c>
      <c r="D42" s="28" t="s">
        <v>9</v>
      </c>
      <c r="E42" s="28" t="s">
        <v>34</v>
      </c>
      <c r="F42" s="28">
        <v>2</v>
      </c>
      <c r="H42" s="28" t="s">
        <v>136</v>
      </c>
      <c r="I42" s="21" t="s">
        <v>214</v>
      </c>
    </row>
    <row r="43" spans="2:9">
      <c r="B43" s="48" t="s">
        <v>167</v>
      </c>
      <c r="C43" s="21" t="s">
        <v>170</v>
      </c>
      <c r="D43" s="28" t="s">
        <v>9</v>
      </c>
      <c r="E43" s="28" t="s">
        <v>34</v>
      </c>
      <c r="F43" s="28">
        <v>2</v>
      </c>
      <c r="H43" s="28" t="s">
        <v>136</v>
      </c>
      <c r="I43" s="21" t="s">
        <v>214</v>
      </c>
    </row>
    <row r="44" spans="2:9">
      <c r="B44" s="48" t="s">
        <v>167</v>
      </c>
      <c r="C44" s="21" t="s">
        <v>176</v>
      </c>
      <c r="D44" s="28" t="s">
        <v>9</v>
      </c>
      <c r="E44" s="28" t="s">
        <v>34</v>
      </c>
      <c r="F44" s="28">
        <v>2</v>
      </c>
      <c r="H44" s="28" t="s">
        <v>136</v>
      </c>
      <c r="I44" s="21" t="s">
        <v>214</v>
      </c>
    </row>
    <row r="45" spans="2:9">
      <c r="B45" s="48" t="s">
        <v>167</v>
      </c>
      <c r="C45" s="21" t="s">
        <v>158</v>
      </c>
      <c r="D45" s="28" t="s">
        <v>9</v>
      </c>
      <c r="E45" s="28" t="s">
        <v>34</v>
      </c>
      <c r="F45" s="28">
        <v>1</v>
      </c>
      <c r="H45" s="28" t="s">
        <v>136</v>
      </c>
      <c r="I45" s="21" t="s">
        <v>214</v>
      </c>
    </row>
    <row r="46" spans="2:9">
      <c r="B46" s="48" t="s">
        <v>167</v>
      </c>
      <c r="C46" s="21" t="s">
        <v>175</v>
      </c>
      <c r="D46" s="28" t="s">
        <v>9</v>
      </c>
      <c r="E46" s="28" t="s">
        <v>34</v>
      </c>
      <c r="F46" s="28">
        <v>2</v>
      </c>
      <c r="H46" s="28" t="s">
        <v>136</v>
      </c>
      <c r="I46" s="21" t="s">
        <v>214</v>
      </c>
    </row>
    <row r="47" spans="2:9">
      <c r="B47" s="48" t="s">
        <v>167</v>
      </c>
      <c r="C47" s="21" t="s">
        <v>171</v>
      </c>
      <c r="D47" s="28" t="s">
        <v>9</v>
      </c>
      <c r="E47" s="28" t="s">
        <v>34</v>
      </c>
      <c r="F47" s="28">
        <v>1</v>
      </c>
      <c r="H47" s="28" t="s">
        <v>136</v>
      </c>
      <c r="I47" s="21" t="s">
        <v>214</v>
      </c>
    </row>
    <row r="48" spans="2:9">
      <c r="B48" s="48" t="s">
        <v>167</v>
      </c>
      <c r="C48" s="21" t="s">
        <v>178</v>
      </c>
      <c r="D48" s="28" t="s">
        <v>17</v>
      </c>
      <c r="E48" s="28" t="s">
        <v>18</v>
      </c>
      <c r="H48" s="28" t="s">
        <v>136</v>
      </c>
    </row>
    <row r="49" spans="1:9">
      <c r="B49" s="48" t="s">
        <v>167</v>
      </c>
      <c r="C49" s="21" t="s">
        <v>156</v>
      </c>
      <c r="D49" s="28" t="s">
        <v>9</v>
      </c>
      <c r="E49" s="28" t="s">
        <v>18</v>
      </c>
      <c r="H49" s="28" t="s">
        <v>136</v>
      </c>
    </row>
    <row r="50" spans="1:9">
      <c r="A50" s="21" t="s">
        <v>221</v>
      </c>
      <c r="B50" s="49" t="s">
        <v>204</v>
      </c>
      <c r="C50" s="21" t="s">
        <v>205</v>
      </c>
      <c r="D50" s="28" t="s">
        <v>17</v>
      </c>
      <c r="E50" s="28" t="s">
        <v>34</v>
      </c>
      <c r="F50" s="28">
        <v>2</v>
      </c>
      <c r="H50" s="28" t="s">
        <v>136</v>
      </c>
      <c r="I50" s="21" t="s">
        <v>216</v>
      </c>
    </row>
    <row r="51" spans="1:9">
      <c r="A51" s="21" t="s">
        <v>213</v>
      </c>
      <c r="B51" s="49" t="s">
        <v>204</v>
      </c>
      <c r="C51" s="21" t="s">
        <v>206</v>
      </c>
      <c r="D51" s="28" t="s">
        <v>9</v>
      </c>
      <c r="E51" s="28" t="s">
        <v>34</v>
      </c>
      <c r="F51" s="28">
        <v>1</v>
      </c>
      <c r="H51" s="28" t="s">
        <v>136</v>
      </c>
      <c r="I51" s="21" t="s">
        <v>216</v>
      </c>
    </row>
    <row r="52" spans="1:9">
      <c r="B52" s="50" t="s">
        <v>188</v>
      </c>
      <c r="C52" s="21" t="s">
        <v>189</v>
      </c>
      <c r="D52" s="28" t="s">
        <v>9</v>
      </c>
      <c r="E52" s="28" t="s">
        <v>34</v>
      </c>
      <c r="F52" s="28">
        <v>1</v>
      </c>
      <c r="H52" s="28" t="s">
        <v>136</v>
      </c>
      <c r="I52" s="21" t="s">
        <v>216</v>
      </c>
    </row>
    <row r="53" spans="1:9">
      <c r="B53" s="50" t="s">
        <v>188</v>
      </c>
      <c r="C53" s="21" t="s">
        <v>191</v>
      </c>
      <c r="D53" s="28" t="s">
        <v>9</v>
      </c>
      <c r="E53" s="28" t="s">
        <v>34</v>
      </c>
      <c r="F53" s="28">
        <v>2</v>
      </c>
      <c r="H53" s="28" t="s">
        <v>136</v>
      </c>
      <c r="I53" s="21" t="s">
        <v>224</v>
      </c>
    </row>
    <row r="54" spans="1:9">
      <c r="B54" s="50" t="s">
        <v>188</v>
      </c>
      <c r="C54" s="21" t="s">
        <v>190</v>
      </c>
      <c r="D54" s="28" t="s">
        <v>9</v>
      </c>
      <c r="E54" s="28" t="s">
        <v>34</v>
      </c>
      <c r="H54" s="28" t="s">
        <v>136</v>
      </c>
      <c r="I54" s="21" t="s">
        <v>222</v>
      </c>
    </row>
    <row r="55" spans="1:9">
      <c r="B55" s="50" t="s">
        <v>188</v>
      </c>
      <c r="C55" s="21" t="s">
        <v>223</v>
      </c>
      <c r="D55" s="28" t="s">
        <v>9</v>
      </c>
      <c r="E55" s="28" t="s">
        <v>34</v>
      </c>
      <c r="H55" s="28" t="s">
        <v>136</v>
      </c>
      <c r="I55" s="21" t="s">
        <v>222</v>
      </c>
    </row>
    <row r="56" spans="1:9">
      <c r="B56" s="29" t="s">
        <v>181</v>
      </c>
      <c r="C56" s="21" t="s">
        <v>209</v>
      </c>
      <c r="D56" s="28" t="s">
        <v>25</v>
      </c>
      <c r="E56" s="28" t="s">
        <v>18</v>
      </c>
      <c r="H56" s="28" t="s">
        <v>136</v>
      </c>
      <c r="I56" s="21" t="s">
        <v>222</v>
      </c>
    </row>
    <row r="57" spans="1:9">
      <c r="B57" s="29" t="s">
        <v>181</v>
      </c>
      <c r="C57" s="21" t="s">
        <v>210</v>
      </c>
      <c r="D57" s="28" t="s">
        <v>25</v>
      </c>
      <c r="E57" s="28" t="s">
        <v>18</v>
      </c>
      <c r="H57" s="28" t="s">
        <v>136</v>
      </c>
      <c r="I57" s="21" t="s">
        <v>222</v>
      </c>
    </row>
    <row r="58" spans="1:9">
      <c r="B58" s="29" t="s">
        <v>181</v>
      </c>
      <c r="C58" s="21" t="s">
        <v>198</v>
      </c>
      <c r="D58" s="28" t="s">
        <v>25</v>
      </c>
      <c r="E58" s="28" t="s">
        <v>18</v>
      </c>
      <c r="H58" s="28" t="s">
        <v>136</v>
      </c>
      <c r="I58" s="21" t="s">
        <v>222</v>
      </c>
    </row>
    <row r="59" spans="1:9">
      <c r="B59" s="29" t="s">
        <v>181</v>
      </c>
      <c r="C59" s="21" t="s">
        <v>182</v>
      </c>
      <c r="D59" s="28" t="s">
        <v>49</v>
      </c>
      <c r="E59" s="28" t="s">
        <v>18</v>
      </c>
      <c r="F59" s="28">
        <v>1</v>
      </c>
      <c r="H59" s="28" t="s">
        <v>136</v>
      </c>
      <c r="I59" s="21" t="s">
        <v>225</v>
      </c>
    </row>
    <row r="60" spans="1:9">
      <c r="B60" s="29" t="s">
        <v>181</v>
      </c>
      <c r="C60" s="21" t="s">
        <v>219</v>
      </c>
      <c r="D60" s="28" t="s">
        <v>25</v>
      </c>
      <c r="E60" s="28" t="s">
        <v>34</v>
      </c>
      <c r="H60" s="28" t="s">
        <v>136</v>
      </c>
      <c r="I60" s="21" t="s">
        <v>222</v>
      </c>
    </row>
    <row r="61" spans="1:9">
      <c r="B61" s="29" t="s">
        <v>181</v>
      </c>
      <c r="C61" s="21" t="s">
        <v>220</v>
      </c>
      <c r="D61" s="28" t="s">
        <v>25</v>
      </c>
      <c r="E61" s="28" t="s">
        <v>34</v>
      </c>
      <c r="H61" s="28" t="s">
        <v>136</v>
      </c>
      <c r="I61" s="21" t="s">
        <v>222</v>
      </c>
    </row>
    <row r="62" spans="1:9">
      <c r="B62" s="43" t="s">
        <v>186</v>
      </c>
      <c r="C62" s="21" t="s">
        <v>183</v>
      </c>
      <c r="D62" s="28" t="s">
        <v>9</v>
      </c>
      <c r="E62" s="28" t="s">
        <v>34</v>
      </c>
      <c r="F62" s="28">
        <v>2</v>
      </c>
      <c r="H62" s="28" t="s">
        <v>136</v>
      </c>
      <c r="I62" s="21" t="s">
        <v>226</v>
      </c>
    </row>
    <row r="63" spans="1:9">
      <c r="B63" s="43" t="s">
        <v>186</v>
      </c>
      <c r="C63" s="25" t="s">
        <v>184</v>
      </c>
      <c r="D63" s="28" t="s">
        <v>17</v>
      </c>
      <c r="E63" s="28" t="s">
        <v>34</v>
      </c>
      <c r="F63" s="28">
        <v>2</v>
      </c>
      <c r="H63" s="28" t="s">
        <v>136</v>
      </c>
      <c r="I63" s="21" t="s">
        <v>226</v>
      </c>
    </row>
    <row r="64" spans="1:9">
      <c r="B64" s="43" t="s">
        <v>186</v>
      </c>
      <c r="C64" s="21" t="s">
        <v>185</v>
      </c>
      <c r="D64" s="28" t="s">
        <v>9</v>
      </c>
      <c r="E64" s="28" t="s">
        <v>34</v>
      </c>
      <c r="F64" s="28">
        <v>1.5</v>
      </c>
      <c r="H64" s="28" t="s">
        <v>136</v>
      </c>
      <c r="I64" s="21" t="s">
        <v>226</v>
      </c>
    </row>
    <row r="65" spans="2:9">
      <c r="B65" s="43" t="s">
        <v>186</v>
      </c>
      <c r="C65" s="21" t="s">
        <v>217</v>
      </c>
      <c r="D65" s="28" t="s">
        <v>9</v>
      </c>
      <c r="H65" s="28" t="s">
        <v>136</v>
      </c>
      <c r="I65" s="21" t="s">
        <v>218</v>
      </c>
    </row>
    <row r="66" spans="2:9">
      <c r="B66" s="43" t="s">
        <v>186</v>
      </c>
      <c r="C66" s="21" t="s">
        <v>192</v>
      </c>
      <c r="D66" s="28" t="s">
        <v>17</v>
      </c>
      <c r="E66" s="28" t="s">
        <v>34</v>
      </c>
      <c r="F66" s="28">
        <v>2</v>
      </c>
      <c r="H66" s="28" t="s">
        <v>136</v>
      </c>
      <c r="I66" s="21" t="s">
        <v>226</v>
      </c>
    </row>
    <row r="67" spans="2:9">
      <c r="B67" s="43" t="s">
        <v>186</v>
      </c>
      <c r="C67" s="21" t="s">
        <v>193</v>
      </c>
      <c r="D67" s="28" t="s">
        <v>9</v>
      </c>
      <c r="E67" s="28" t="s">
        <v>34</v>
      </c>
      <c r="F67" s="28">
        <v>2</v>
      </c>
      <c r="H67" s="28" t="s">
        <v>136</v>
      </c>
      <c r="I67" s="21" t="s">
        <v>226</v>
      </c>
    </row>
    <row r="68" spans="2:9">
      <c r="B68" s="43" t="s">
        <v>186</v>
      </c>
      <c r="C68" s="21" t="s">
        <v>194</v>
      </c>
      <c r="D68" s="28" t="s">
        <v>25</v>
      </c>
      <c r="E68" s="28" t="s">
        <v>18</v>
      </c>
      <c r="H68" s="28" t="s">
        <v>136</v>
      </c>
    </row>
    <row r="69" spans="2:9">
      <c r="B69" s="44" t="s">
        <v>195</v>
      </c>
      <c r="C69" s="21" t="s">
        <v>196</v>
      </c>
      <c r="D69" s="28" t="s">
        <v>9</v>
      </c>
      <c r="E69" s="28" t="s">
        <v>18</v>
      </c>
      <c r="H69" s="28" t="s">
        <v>136</v>
      </c>
    </row>
    <row r="70" spans="2:9">
      <c r="B70" s="44" t="s">
        <v>195</v>
      </c>
      <c r="C70" s="21" t="s">
        <v>197</v>
      </c>
      <c r="D70" s="28" t="s">
        <v>9</v>
      </c>
      <c r="E70" s="28" t="s">
        <v>18</v>
      </c>
      <c r="H70" s="28" t="s">
        <v>136</v>
      </c>
    </row>
    <row r="71" spans="2:9">
      <c r="B71" s="44" t="s">
        <v>195</v>
      </c>
      <c r="C71" s="21" t="s">
        <v>211</v>
      </c>
      <c r="D71" s="28" t="s">
        <v>25</v>
      </c>
      <c r="E71" s="28" t="s">
        <v>18</v>
      </c>
      <c r="H71" s="28" t="s">
        <v>136</v>
      </c>
    </row>
    <row r="72" spans="2:9" ht="18.75">
      <c r="B72" s="44" t="s">
        <v>195</v>
      </c>
      <c r="C72" s="42" t="s">
        <v>161</v>
      </c>
      <c r="D72" s="28" t="s">
        <v>9</v>
      </c>
      <c r="E72" s="28" t="s">
        <v>18</v>
      </c>
      <c r="H72" s="28" t="s">
        <v>136</v>
      </c>
    </row>
    <row r="73" spans="2:9">
      <c r="B73" s="51" t="s">
        <v>199</v>
      </c>
      <c r="C73" s="21" t="s">
        <v>200</v>
      </c>
      <c r="D73" s="28" t="s">
        <v>9</v>
      </c>
      <c r="E73" s="28" t="s">
        <v>18</v>
      </c>
      <c r="H73" s="28" t="s">
        <v>136</v>
      </c>
    </row>
    <row r="74" spans="2:9">
      <c r="B74" s="51" t="s">
        <v>199</v>
      </c>
      <c r="C74" s="21" t="s">
        <v>156</v>
      </c>
      <c r="D74" s="28" t="s">
        <v>9</v>
      </c>
      <c r="E74" s="28" t="s">
        <v>18</v>
      </c>
      <c r="F74" s="21"/>
      <c r="G74" s="21"/>
      <c r="H74" s="28" t="s">
        <v>136</v>
      </c>
    </row>
    <row r="75" spans="2:9">
      <c r="B75" s="51" t="s">
        <v>199</v>
      </c>
      <c r="C75" s="21" t="s">
        <v>201</v>
      </c>
      <c r="D75" s="28" t="s">
        <v>9</v>
      </c>
      <c r="E75" s="28" t="s">
        <v>18</v>
      </c>
      <c r="F75" s="21"/>
      <c r="G75" s="21"/>
      <c r="H75" s="28" t="s">
        <v>136</v>
      </c>
    </row>
    <row r="76" spans="2:9">
      <c r="B76" s="51" t="s">
        <v>199</v>
      </c>
      <c r="C76" s="21" t="s">
        <v>202</v>
      </c>
      <c r="D76" s="28" t="s">
        <v>9</v>
      </c>
      <c r="E76" s="28" t="s">
        <v>18</v>
      </c>
      <c r="F76" s="21"/>
      <c r="G76" s="21"/>
      <c r="H76" s="28" t="s">
        <v>136</v>
      </c>
    </row>
    <row r="77" spans="2:9">
      <c r="B77" s="51" t="s">
        <v>199</v>
      </c>
      <c r="C77" s="21" t="s">
        <v>203</v>
      </c>
      <c r="D77" s="28" t="s">
        <v>9</v>
      </c>
      <c r="E77" s="28" t="s">
        <v>18</v>
      </c>
      <c r="H77" s="28" t="s">
        <v>136</v>
      </c>
    </row>
  </sheetData>
  <autoFilter ref="A2:I77" xr:uid="{00000000-0001-0000-0000-000000000000}"/>
  <phoneticPr fontId="1"/>
  <dataValidations count="3">
    <dataValidation type="list" allowBlank="1" showInputMessage="1" showErrorMessage="1" sqref="H3:H77" xr:uid="{E1CFE88F-4F87-4696-BE21-1133C2AEB8C1}">
      <formula1>"未着手,作業中,完了"</formula1>
    </dataValidation>
    <dataValidation type="list" allowBlank="1" showInputMessage="1" showErrorMessage="1" sqref="D3:D77" xr:uid="{AF10AFEC-2E3A-4CB7-ABD8-6255C47E78C2}">
      <formula1>"S,A,B,C"</formula1>
    </dataValidation>
    <dataValidation type="list" allowBlank="1" showInputMessage="1" showErrorMessage="1" sqref="E3:E77" xr:uid="{8982FD40-CA4D-4B92-93FE-B37B6B67ACD6}">
      <formula1>"プロト,アルファ,ベータ,マスタ"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AEDD2-674B-437A-B1BD-39BBE1464A75}">
  <dimension ref="B2:H10"/>
  <sheetViews>
    <sheetView workbookViewId="0">
      <selection activeCell="D6" sqref="D6"/>
    </sheetView>
  </sheetViews>
  <sheetFormatPr defaultRowHeight="15"/>
  <sheetData>
    <row r="2" spans="2:8">
      <c r="B2" s="52" t="s">
        <v>240</v>
      </c>
      <c r="C2" s="52" t="s">
        <v>234</v>
      </c>
      <c r="D2" s="52" t="s">
        <v>235</v>
      </c>
      <c r="E2" s="52" t="s">
        <v>236</v>
      </c>
      <c r="F2" s="52" t="s">
        <v>237</v>
      </c>
      <c r="G2" s="52" t="s">
        <v>238</v>
      </c>
      <c r="H2" s="52" t="s">
        <v>239</v>
      </c>
    </row>
    <row r="3" spans="2:8">
      <c r="D3">
        <v>1</v>
      </c>
      <c r="E3">
        <v>2</v>
      </c>
      <c r="F3">
        <v>3</v>
      </c>
      <c r="G3">
        <v>4</v>
      </c>
      <c r="H3">
        <v>5</v>
      </c>
    </row>
    <row r="4" spans="2:8">
      <c r="B4">
        <v>6</v>
      </c>
      <c r="C4">
        <v>7</v>
      </c>
      <c r="D4">
        <v>8</v>
      </c>
      <c r="E4">
        <v>9</v>
      </c>
      <c r="F4">
        <v>10</v>
      </c>
      <c r="G4">
        <v>11</v>
      </c>
      <c r="H4">
        <v>12</v>
      </c>
    </row>
    <row r="5" spans="2:8">
      <c r="B5">
        <v>13</v>
      </c>
      <c r="C5">
        <v>14</v>
      </c>
      <c r="D5" s="53">
        <v>15</v>
      </c>
      <c r="E5" s="53">
        <v>16</v>
      </c>
      <c r="F5" s="53">
        <v>17</v>
      </c>
      <c r="G5" s="53">
        <v>18</v>
      </c>
      <c r="H5" s="53">
        <v>19</v>
      </c>
    </row>
    <row r="6" spans="2:8">
      <c r="B6">
        <v>20</v>
      </c>
      <c r="C6">
        <v>21</v>
      </c>
      <c r="D6">
        <v>22</v>
      </c>
      <c r="E6">
        <v>23</v>
      </c>
      <c r="F6">
        <v>24</v>
      </c>
      <c r="G6">
        <v>25</v>
      </c>
      <c r="H6">
        <v>26</v>
      </c>
    </row>
    <row r="7" spans="2:8">
      <c r="B7">
        <v>27</v>
      </c>
      <c r="C7">
        <v>28</v>
      </c>
      <c r="D7">
        <v>29</v>
      </c>
      <c r="E7">
        <v>30</v>
      </c>
      <c r="F7">
        <v>1</v>
      </c>
      <c r="G7">
        <v>2</v>
      </c>
      <c r="H7">
        <v>3</v>
      </c>
    </row>
    <row r="8" spans="2:8">
      <c r="B8">
        <v>4</v>
      </c>
      <c r="C8">
        <v>5</v>
      </c>
      <c r="D8">
        <v>6</v>
      </c>
      <c r="E8">
        <v>7</v>
      </c>
      <c r="F8">
        <v>8</v>
      </c>
      <c r="G8">
        <v>9</v>
      </c>
      <c r="H8">
        <v>10</v>
      </c>
    </row>
    <row r="9" spans="2:8">
      <c r="B9">
        <v>11</v>
      </c>
      <c r="C9">
        <v>12</v>
      </c>
      <c r="D9">
        <v>13</v>
      </c>
      <c r="E9">
        <v>14</v>
      </c>
      <c r="F9">
        <v>15</v>
      </c>
      <c r="G9">
        <v>16</v>
      </c>
      <c r="H9">
        <v>17</v>
      </c>
    </row>
    <row r="10" spans="2:8">
      <c r="B10">
        <v>18</v>
      </c>
      <c r="C10">
        <v>19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2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1125_元データ</vt:lpstr>
      <vt:lpstr>概要</vt:lpstr>
      <vt:lpstr>作業工数見積もり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久保田　七翔</cp:lastModifiedBy>
  <cp:revision/>
  <dcterms:created xsi:type="dcterms:W3CDTF">2015-06-05T18:19:34Z</dcterms:created>
  <dcterms:modified xsi:type="dcterms:W3CDTF">2026-10-01T07:46:57Z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