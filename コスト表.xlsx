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FukudaGenki\Documents\GitHub\koukiteam\"/>
    </mc:Choice>
  </mc:AlternateContent>
  <xr:revisionPtr revIDLastSave="0" documentId="13_ncr:1_{161E2831-B923-4881-8A08-E7ADD7B8643B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<sst xmlns="http://schemas.openxmlformats.org/spreadsheetml/2006/main" count="830" uniqueCount="244">
  <si>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</si>
  <si>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</si>
  <si>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</si>
  <si>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</si>
  <si>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</si>
  <si>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</si>
  <si>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</si>
  <si>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</si>
  <si>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</si>
  <si>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</si>
  <si>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</si>
  <si>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</si>
  <si>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</si>
  <si>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</si>
  <si>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</si>
  <si>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</si>
  <si>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</si>
  <si>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</si>
  <si>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</si>
  <si>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</si>
  <si>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</si>
  <si>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</si>
  <si>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</si>
  <si>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</si>
  <si>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</si>
  <si>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</si>
  <si>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</si>
  <si>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</si>
  <si>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</si>
  <si>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</si>
  <si>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</si>
  <si>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</si>
  <si>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</si>
  <si>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</si>
  <si>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</si>
  <si>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</si>
  <si>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</si>
  <si>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</si>
  <si>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</si>
  <si>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</si>
  <si>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</si>
  <si>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</si>
  <si>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</si>
  <si>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</si>
  <si>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</si>
  <si>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</si>
  <si>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</si>
  <si>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</si>
  <si>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</si>
  <si>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</si>
  <si>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</si>
  <si>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</si>
  <si>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</si>
  <si>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</si>
  <si>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</si>
  <si>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</si>
  <si>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</si>
  <si>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</si>
  <si>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</si>
  <si>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</si>
  <si>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</si>
  <si>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</si>
  <si>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</si>
  <si>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</si>
  <si>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</si>
  <si>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</si>
  <si>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</si>
  <si>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</si>
  <si>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</si>
  <si>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</si>
  <si>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</si>
  <si>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</si>
  <si>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</si>
  <si>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</si>
  <si>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</si>
  <si>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</si>
  <si>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</si>
  <si>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</si>
  <si>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</si>
  <si>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</si>
  <si>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</si>
  <si>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</si>
  <si>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</si>
  <si>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</si>
  <si>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</si>
  <si>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</si>
  <si>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</si>
  <si>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</si>
  <si>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</si>
  <si>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</si>
  <si>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</si>
  <si>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</si>
  <si>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</si>
  <si>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</si>
  <si>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</si>
  <si>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</si>
  <si>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</si>
  <si>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</si>
  <si>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</si>
  <si>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</si>
  <si>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</si>
  <si>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</si>
  <si>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</si>
  <si>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</si>
  <si>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</si>
  <si>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</si>
  <si>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</si>
  <si>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</si>
  <si>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</si>
  <si>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</si>
  <si>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</si>
  <si>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</si>
  <si>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</si>
  <si>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</si>
  <si>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</si>
  <si>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</si>
  <si>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</si>
  <si>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</si>
  <si>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</si>
  <si>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</si>
  <si>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</si>
  <si>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</si>
  <si>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</si>
  <si>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</si>
  <si>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</si>
  <si>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</si>
  <si>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</si>
  <si>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</si>
  <si>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</si>
  <si>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</si>
  <si>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</si>
  <si>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</si>
  <si>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</si>
  <si>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</si>
  <si>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</si>
  <si>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</si>
  <si>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</si>
  <si>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</si>
  <si>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</si>
  <si>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</si>
  <si>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</si>
  <si>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</si>
  <si>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</si>
  <si>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</si>
  <si>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</si>
  <si>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</si>
  <si>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</si>
  <si>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</si>
  <si>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</si>
  <si>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</si>
  <si>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</si>
  <si>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</si>
  <si>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</si>
  <si>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</si>
  <si>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</si>
  <si>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</si>
  <si>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</si>
  <si>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</si>
  <si>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</si>
  <si>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</si>
  <si>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</si>
  <si>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</si>
  <si>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</si>
  <si>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</si>
  <si>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</si>
  <si>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</si>
  <si>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</si>
  <si>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</si>
  <si>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</si>
  <si>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</si>
  <si>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</si>
  <si>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</si>
  <si>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</si>
  <si>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</si>
  <si>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</si>
  <si>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</si>
  <si>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</si>
  <si>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</si>
  <si>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</si>
  <si>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</si>
  <si>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</si>
  <si>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</si>
  <si>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</si>
  <si>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</si>
  <si>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</si>
  <si>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</si>
  <si>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</si>
  <si>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</si>
  <si>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</si>
  <si>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</si>
  <si>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</si>
  <si>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</si>
  <si>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</si>
  <si>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</si>
  <si>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</si>
  <si>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</si>
  <si>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</si>
  <si>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</si>
  <si>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</si>
  <si>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</si>
  <si>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</si>
  <si>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</si>
  <si>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</si>
  <si>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</si>
  <si>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</si>
  <si>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</si>
  <si>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</si>
  <si>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</si>
  <si>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</si>
  <si>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</si>
  <si>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</si>
  <si>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</si>
  <si>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</si>
  <si>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</si>
  <si>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</si>
  <si>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</si>
  <si>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</si>
  <si>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</si>
  <si>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</si>
  <si>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</si>
  <si>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</si>
  <si>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</si>
  <si>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</si>
  <si>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</si>
  <si>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</si>
  <si>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</si>
  <si>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</si>
  <si>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</si>
  <si>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</si>
  <si>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</si>
  <si>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</si>
  <si>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</si>
  <si>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</si>
  <si>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</si>
  <si>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</si>
  <si>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</si>
  <si>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</si>
  <si>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</si>
  <si>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</si>
  <si>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</si>
  <si>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</si>
  <si>
    <t>完了</t>
  </si>
  <si>
    <t>全員</t>
    <rPh sb="0" eb="2">
      <t>ゼンイン</t>
    </rPh>
    <phoneticPr fontId="1"/>
  </si>
  <si>
    <t>→アルファへ移動</t>
    <rPh sb="6" eb="8">
      <t>イドウ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</si>
</sst>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8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  <xf numFmtId="0" fontId="0" fillId="11" borderId="0" xfId="0" applyFill="1"/>
    <xf numFmtId="0" fontId="0" fillId="27" borderId="0" xfId="0" applyFill="1"/>
    <xf numFmtId="0" fontId="0" fillId="28" borderId="0" xfId="0" applyFill="1"/>
    <xf numFmtId="0" fontId="0" fillId="3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501</v>
      </c>
      <c r="L4" s="3">
        <f ca="1" xml:space="preserve"> K3 / K4</f>
        <v>5.289421157684631E-2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46303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-470</v>
      </c>
      <c r="M9" s="3">
        <f ca="1">($K$2 - $K$3) / L9</f>
        <v>-0.19574468085106383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-450</v>
      </c>
      <c r="M10" s="3">
        <f ca="1">($K$2 - $K$3) / L10</f>
        <v>-0.20444444444444446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-439</v>
      </c>
      <c r="M11" s="3">
        <f ca="1">($K$2 - $K$3) / L11</f>
        <v>-0.20956719817767655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92</v>
      </c>
    </row>
    <row r="4" spans="2:5">
      <c r="B4" s="7" t="s">
        <v>10</v>
      </c>
      <c r="C4">
        <f>SUMIF(作業工数見積もり!H3:H46,"完了",作業工数見積もり!F3:F46)</f>
        <v>33</v>
      </c>
      <c r="D4" t="s">
        <v>11</v>
      </c>
    </row>
    <row r="5" spans="2:5">
      <c r="B5" s="8" t="s">
        <v>13</v>
      </c>
      <c r="C5" s="2">
        <f ca="1">NETWORKDAYS(C6,C7)</f>
        <v>501</v>
      </c>
      <c r="D5" s="3">
        <f ca="1" xml:space="preserve"> C4 / C5</f>
        <v>6.5868263473053898E-2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46303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-470</v>
      </c>
      <c r="E10" s="3">
        <f ca="1">($C$3 - $C$4) / D10</f>
        <v>-0.12553191489361701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-450</v>
      </c>
      <c r="E11" s="3">
        <f ca="1">($C$3 - $C$4) / D11</f>
        <v>-0.13111111111111112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-439</v>
      </c>
      <c r="E12" s="3">
        <f ca="1">($C$3 - $C$4) / D12</f>
        <v>-0.13439635535307518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M77"/>
  <sheetViews>
    <sheetView tabSelected="1" topLeftCell="B1" zoomScale="70" zoomScaleNormal="70" workbookViewId="0">
      <selection activeCell="C48" sqref="C48"/>
    </sheetView>
  </sheetViews>
  <sheetFormatPr defaultColWidth="9"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37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I3" s="21" t="s">
        <v>216</v>
      </c>
      <c r="K3" s="34" t="s">
        <v>132</v>
      </c>
      <c r="L3" s="21">
        <f>SUM(L4,L5,L6)</f>
        <v>74</v>
      </c>
    </row>
    <row r="4" spans="2:13" hidden="1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 hidden="1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241</v>
      </c>
      <c r="K5" s="36" t="s">
        <v>1</v>
      </c>
      <c r="L5" s="39">
        <f>COUNTIF(E3:E77,K5)</f>
        <v>35</v>
      </c>
    </row>
    <row r="6" spans="2:13" hidden="1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G6" s="28">
        <v>1</v>
      </c>
      <c r="H6" s="28" t="s">
        <v>241</v>
      </c>
      <c r="I6" s="21" t="s">
        <v>214</v>
      </c>
      <c r="K6" s="37" t="s">
        <v>127</v>
      </c>
      <c r="L6" s="39">
        <f>COUNTIF(E3:E77,K6)</f>
        <v>1</v>
      </c>
    </row>
    <row r="7" spans="2:13" hidden="1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G7" s="28">
        <v>1</v>
      </c>
      <c r="H7" s="28" t="s">
        <v>241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F8" s="28">
        <v>1</v>
      </c>
      <c r="H8" s="28" t="s">
        <v>136</v>
      </c>
      <c r="I8" s="21" t="s">
        <v>214</v>
      </c>
      <c r="K8" s="32" t="s">
        <v>35</v>
      </c>
      <c r="L8" s="39">
        <f>COUNTIF(H3:H77,K8)</f>
        <v>35</v>
      </c>
      <c r="M8" s="40">
        <f>L8/L3</f>
        <v>0.47297297297297297</v>
      </c>
    </row>
    <row r="9" spans="2:13" hidden="1">
      <c r="B9" s="44" t="s">
        <v>159</v>
      </c>
      <c r="C9" s="21" t="s">
        <v>162</v>
      </c>
      <c r="D9" s="28" t="s">
        <v>17</v>
      </c>
      <c r="E9" s="28" t="s">
        <v>34</v>
      </c>
      <c r="F9" s="28">
        <v>1</v>
      </c>
      <c r="G9" s="28">
        <v>1</v>
      </c>
      <c r="H9" s="28" t="s">
        <v>241</v>
      </c>
      <c r="I9" s="21" t="s">
        <v>214</v>
      </c>
      <c r="K9" s="33" t="s">
        <v>133</v>
      </c>
      <c r="L9" s="39">
        <f>COUNTIF(H3:H77,K9)</f>
        <v>40</v>
      </c>
      <c r="M9" s="31">
        <f>(L9+L10)/L3</f>
        <v>0.54054054054054057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F10" s="28">
        <v>1</v>
      </c>
      <c r="H10" s="28" t="s">
        <v>136</v>
      </c>
      <c r="I10" s="21" t="s">
        <v>214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F11" s="28">
        <v>1</v>
      </c>
      <c r="H11" s="28" t="s">
        <v>136</v>
      </c>
      <c r="I11" s="21" t="s">
        <v>214</v>
      </c>
    </row>
    <row r="12" spans="2:13" hidden="1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G12" s="28">
        <v>0.5</v>
      </c>
      <c r="H12" s="28" t="s">
        <v>241</v>
      </c>
      <c r="I12" s="21" t="s">
        <v>215</v>
      </c>
      <c r="K12" s="41" t="s">
        <v>228</v>
      </c>
      <c r="L12" s="21">
        <f>SUM(F3:F77)</f>
        <v>92</v>
      </c>
    </row>
    <row r="13" spans="2:13" hidden="1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G13" s="28">
        <v>0.5</v>
      </c>
      <c r="H13" s="28" t="s">
        <v>241</v>
      </c>
      <c r="I13" s="21" t="s">
        <v>215</v>
      </c>
      <c r="K13" s="38" t="s">
        <v>135</v>
      </c>
      <c r="L13" s="21">
        <f>1*L12</f>
        <v>92</v>
      </c>
    </row>
    <row r="14" spans="2:13" hidden="1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G14" s="28">
        <v>2</v>
      </c>
      <c r="H14" s="28" t="s">
        <v>241</v>
      </c>
      <c r="I14" s="21" t="s">
        <v>215</v>
      </c>
      <c r="J14" s="38"/>
    </row>
    <row r="15" spans="2:13" hidden="1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241</v>
      </c>
      <c r="I15" s="21" t="s">
        <v>215</v>
      </c>
      <c r="J15" s="38"/>
      <c r="K15" s="21" t="s">
        <v>229</v>
      </c>
      <c r="L15" s="21">
        <f>COUNTIF(I3:I77, K15)</f>
        <v>29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F16" s="28">
        <v>2</v>
      </c>
      <c r="H16" s="28" t="s">
        <v>136</v>
      </c>
      <c r="I16" s="21" t="s">
        <v>215</v>
      </c>
      <c r="K16" s="21" t="s">
        <v>230</v>
      </c>
      <c r="L16" s="21">
        <f>COUNTIF(I3:I77, K16)</f>
        <v>16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F17" s="28">
        <v>1</v>
      </c>
      <c r="H17" s="28" t="s">
        <v>136</v>
      </c>
      <c r="I17" s="21" t="s">
        <v>215</v>
      </c>
      <c r="K17" s="21" t="s">
        <v>231</v>
      </c>
      <c r="L17" s="21">
        <f>COUNTIF(I3:I77, K17)</f>
        <v>11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F18" s="28">
        <v>2</v>
      </c>
      <c r="H18" s="28" t="s">
        <v>136</v>
      </c>
      <c r="I18" s="21" t="s">
        <v>215</v>
      </c>
      <c r="K18" s="21" t="s">
        <v>232</v>
      </c>
      <c r="L18" s="21">
        <f>COUNTIF(I3:I77, K18)</f>
        <v>8</v>
      </c>
    </row>
    <row r="19" spans="2:12" hidden="1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G19" s="28">
        <v>2</v>
      </c>
      <c r="H19" s="28" t="s">
        <v>241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F20" s="28">
        <v>0.5</v>
      </c>
      <c r="H20" s="28" t="s">
        <v>136</v>
      </c>
      <c r="I20" s="21" t="s">
        <v>215</v>
      </c>
    </row>
    <row r="21" spans="2:12" hidden="1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241</v>
      </c>
      <c r="I21" s="21" t="s">
        <v>215</v>
      </c>
    </row>
    <row r="22" spans="2:12" hidden="1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G22" s="28">
        <v>0.5</v>
      </c>
      <c r="H22" s="28" t="s">
        <v>241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F23" s="28">
        <v>2</v>
      </c>
      <c r="H23" s="28" t="s">
        <v>136</v>
      </c>
      <c r="I23" s="21" t="s">
        <v>215</v>
      </c>
    </row>
    <row r="24" spans="2:12" hidden="1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G24" s="28">
        <v>0.5</v>
      </c>
      <c r="H24" s="28" t="s">
        <v>241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F25" s="28">
        <v>0.5</v>
      </c>
      <c r="H25" s="28" t="s">
        <v>136</v>
      </c>
      <c r="I25" s="21" t="s">
        <v>215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F26" s="28">
        <v>2</v>
      </c>
      <c r="H26" s="28" t="s">
        <v>136</v>
      </c>
      <c r="I26" s="21" t="s">
        <v>215</v>
      </c>
    </row>
    <row r="27" spans="2:12" hidden="1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G27" s="28">
        <v>1</v>
      </c>
      <c r="H27" s="28" t="s">
        <v>241</v>
      </c>
      <c r="I27" s="21" t="s">
        <v>214</v>
      </c>
    </row>
    <row r="28" spans="2:12" hidden="1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G28" s="28">
        <v>1</v>
      </c>
      <c r="H28" s="28" t="s">
        <v>241</v>
      </c>
      <c r="I28" s="21" t="s">
        <v>214</v>
      </c>
    </row>
    <row r="29" spans="2:12" hidden="1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G29" s="28">
        <v>1</v>
      </c>
      <c r="H29" s="28" t="s">
        <v>241</v>
      </c>
      <c r="I29" s="21" t="s">
        <v>214</v>
      </c>
    </row>
    <row r="30" spans="2:12" hidden="1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G30" s="28">
        <v>0.5</v>
      </c>
      <c r="H30" s="28" t="s">
        <v>241</v>
      </c>
      <c r="I30" s="21" t="s">
        <v>214</v>
      </c>
    </row>
    <row r="31" spans="2:12" hidden="1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G31" s="28">
        <v>0.5</v>
      </c>
      <c r="H31" s="28" t="s">
        <v>241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F32" s="28">
        <v>1</v>
      </c>
      <c r="H32" s="28" t="s">
        <v>136</v>
      </c>
      <c r="I32" s="21" t="s">
        <v>214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F33" s="28">
        <v>1</v>
      </c>
      <c r="H33" s="28" t="s">
        <v>136</v>
      </c>
      <c r="I33" s="21" t="s">
        <v>214</v>
      </c>
    </row>
    <row r="34" spans="2:9" hidden="1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G34" s="28">
        <v>0.5</v>
      </c>
      <c r="H34" s="28" t="s">
        <v>241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F35" s="28">
        <v>2</v>
      </c>
      <c r="H35" s="28" t="s">
        <v>136</v>
      </c>
      <c r="I35" s="21" t="s">
        <v>214</v>
      </c>
    </row>
    <row r="36" spans="2:9" hidden="1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241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17">
        <v>1</v>
      </c>
      <c r="G37" s="17"/>
      <c r="H37" s="28" t="s">
        <v>136</v>
      </c>
      <c r="I37" s="21" t="s">
        <v>214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17">
        <v>2</v>
      </c>
      <c r="G38" s="17"/>
      <c r="H38" s="28" t="s">
        <v>136</v>
      </c>
      <c r="I38" s="21" t="s">
        <v>214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17">
        <v>1</v>
      </c>
      <c r="G39" s="17"/>
      <c r="H39" s="28" t="s">
        <v>136</v>
      </c>
      <c r="I39" s="21" t="s">
        <v>214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17">
        <v>2</v>
      </c>
      <c r="G40" s="17"/>
      <c r="H40" s="28" t="s">
        <v>136</v>
      </c>
      <c r="I40" s="21" t="s">
        <v>214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F41" s="28">
        <v>3</v>
      </c>
      <c r="H41" s="28" t="s">
        <v>136</v>
      </c>
      <c r="I41" s="21" t="s">
        <v>214</v>
      </c>
    </row>
    <row r="42" spans="2:9" hidden="1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G42" s="28">
        <v>2</v>
      </c>
      <c r="H42" s="28" t="s">
        <v>241</v>
      </c>
      <c r="I42" s="21" t="s">
        <v>214</v>
      </c>
    </row>
    <row r="43" spans="2:9" hidden="1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G43" s="28">
        <v>2</v>
      </c>
      <c r="H43" s="28" t="s">
        <v>241</v>
      </c>
      <c r="I43" s="21" t="s">
        <v>214</v>
      </c>
    </row>
    <row r="44" spans="2:9" hidden="1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G44" s="28">
        <v>2</v>
      </c>
      <c r="H44" s="28" t="s">
        <v>241</v>
      </c>
      <c r="I44" s="21" t="s">
        <v>214</v>
      </c>
    </row>
    <row r="45" spans="2:9" hidden="1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G45" s="28">
        <v>1</v>
      </c>
      <c r="H45" s="28" t="s">
        <v>241</v>
      </c>
      <c r="I45" s="21" t="s">
        <v>214</v>
      </c>
    </row>
    <row r="46" spans="2:9" hidden="1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G46" s="28">
        <v>2</v>
      </c>
      <c r="H46" s="28" t="s">
        <v>241</v>
      </c>
      <c r="I46" s="21" t="s">
        <v>214</v>
      </c>
    </row>
    <row r="47" spans="2:9" hidden="1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G47" s="28">
        <v>1</v>
      </c>
      <c r="H47" s="28" t="s">
        <v>241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F48" s="28">
        <v>2</v>
      </c>
      <c r="H48" s="28" t="s">
        <v>136</v>
      </c>
      <c r="I48" s="21" t="s">
        <v>214</v>
      </c>
    </row>
    <row r="49" spans="1:10">
      <c r="B49" s="48" t="s">
        <v>167</v>
      </c>
      <c r="C49" s="21" t="s">
        <v>156</v>
      </c>
      <c r="D49" s="28" t="s">
        <v>9</v>
      </c>
      <c r="E49" s="28" t="s">
        <v>18</v>
      </c>
      <c r="F49" s="28">
        <v>3</v>
      </c>
      <c r="G49" s="28">
        <v>3</v>
      </c>
      <c r="H49" s="28" t="s">
        <v>241</v>
      </c>
      <c r="I49" s="21" t="s">
        <v>214</v>
      </c>
    </row>
    <row r="50" spans="1:10" hidden="1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F50" s="28">
        <v>2</v>
      </c>
      <c r="H50" s="28" t="s">
        <v>241</v>
      </c>
      <c r="I50" s="21" t="s">
        <v>216</v>
      </c>
    </row>
    <row r="51" spans="1:10" hidden="1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F51" s="28">
        <v>1</v>
      </c>
      <c r="H51" s="28" t="s">
        <v>241</v>
      </c>
      <c r="I51" s="21" t="s">
        <v>216</v>
      </c>
    </row>
    <row r="52" spans="1:10" hidden="1">
      <c r="B52" s="50" t="s">
        <v>188</v>
      </c>
      <c r="C52" s="21" t="s">
        <v>189</v>
      </c>
      <c r="D52" s="28" t="s">
        <v>9</v>
      </c>
      <c r="E52" s="28" t="s">
        <v>34</v>
      </c>
      <c r="F52" s="28">
        <v>1</v>
      </c>
      <c r="H52" s="28" t="s">
        <v>241</v>
      </c>
      <c r="I52" s="21" t="s">
        <v>226</v>
      </c>
    </row>
    <row r="53" spans="1:10" hidden="1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G53" s="28">
        <v>2</v>
      </c>
      <c r="H53" s="28" t="s">
        <v>241</v>
      </c>
      <c r="I53" s="21" t="s">
        <v>224</v>
      </c>
    </row>
    <row r="54" spans="1:10" hidden="1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  <c r="J54" s="21" t="s">
        <v>243</v>
      </c>
    </row>
    <row r="55" spans="1:10" hidden="1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  <c r="J55" s="21" t="s">
        <v>243</v>
      </c>
    </row>
    <row r="56" spans="1:10">
      <c r="B56" s="29" t="s">
        <v>181</v>
      </c>
      <c r="C56" s="21" t="s">
        <v>209</v>
      </c>
      <c r="D56" s="28" t="s">
        <v>25</v>
      </c>
      <c r="E56" s="28" t="s">
        <v>18</v>
      </c>
      <c r="F56" s="28">
        <v>1</v>
      </c>
      <c r="H56" s="28" t="s">
        <v>136</v>
      </c>
      <c r="I56" s="21" t="s">
        <v>222</v>
      </c>
    </row>
    <row r="57" spans="1:10">
      <c r="B57" s="29" t="s">
        <v>181</v>
      </c>
      <c r="C57" s="21" t="s">
        <v>210</v>
      </c>
      <c r="D57" s="28" t="s">
        <v>25</v>
      </c>
      <c r="E57" s="28" t="s">
        <v>18</v>
      </c>
      <c r="F57" s="28">
        <v>1</v>
      </c>
      <c r="H57" s="28" t="s">
        <v>136</v>
      </c>
      <c r="I57" s="21" t="s">
        <v>222</v>
      </c>
    </row>
    <row r="58" spans="1:10">
      <c r="B58" s="29" t="s">
        <v>181</v>
      </c>
      <c r="C58" s="21" t="s">
        <v>198</v>
      </c>
      <c r="D58" s="28" t="s">
        <v>25</v>
      </c>
      <c r="E58" s="28" t="s">
        <v>18</v>
      </c>
      <c r="F58" s="28">
        <v>1</v>
      </c>
      <c r="H58" s="28" t="s">
        <v>136</v>
      </c>
      <c r="I58" s="21" t="s">
        <v>222</v>
      </c>
    </row>
    <row r="59" spans="1:10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10" hidden="1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10" hidden="1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10" hidden="1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241</v>
      </c>
      <c r="I62" s="21" t="s">
        <v>226</v>
      </c>
    </row>
    <row r="63" spans="1:10" hidden="1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241</v>
      </c>
      <c r="I63" s="21" t="s">
        <v>226</v>
      </c>
    </row>
    <row r="64" spans="1:10" hidden="1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241</v>
      </c>
      <c r="I64" s="21" t="s">
        <v>226</v>
      </c>
    </row>
    <row r="65" spans="2:9" hidden="1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 hidden="1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241</v>
      </c>
      <c r="I66" s="21" t="s">
        <v>226</v>
      </c>
    </row>
    <row r="67" spans="2:9" hidden="1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241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F68" s="28">
        <v>1</v>
      </c>
      <c r="H68" s="28" t="s">
        <v>136</v>
      </c>
      <c r="I68" s="21" t="s">
        <v>226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F69" s="28">
        <v>1</v>
      </c>
      <c r="H69" s="28" t="s">
        <v>136</v>
      </c>
      <c r="I69" s="21" t="s">
        <v>226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F70" s="28">
        <v>1</v>
      </c>
      <c r="H70" s="28" t="s">
        <v>136</v>
      </c>
      <c r="I70" s="21" t="s">
        <v>226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F71" s="28">
        <v>1</v>
      </c>
      <c r="H71" s="28" t="s">
        <v>136</v>
      </c>
      <c r="I71" s="21" t="s">
        <v>226</v>
      </c>
    </row>
    <row r="72" spans="2:9">
      <c r="B72" s="44" t="s">
        <v>195</v>
      </c>
      <c r="C72" s="42" t="s">
        <v>161</v>
      </c>
      <c r="D72" s="28" t="s">
        <v>9</v>
      </c>
      <c r="E72" s="28" t="s">
        <v>18</v>
      </c>
      <c r="F72" s="28">
        <v>1</v>
      </c>
      <c r="H72" s="28" t="s">
        <v>136</v>
      </c>
      <c r="I72" s="21" t="s">
        <v>226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F73" s="28">
        <v>0.5</v>
      </c>
      <c r="H73" s="28" t="s">
        <v>136</v>
      </c>
      <c r="I73" s="21" t="s">
        <v>242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8">
        <v>0.5</v>
      </c>
      <c r="G74" s="21"/>
      <c r="H74" s="28" t="s">
        <v>136</v>
      </c>
      <c r="I74" s="21" t="s">
        <v>242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8">
        <v>0.5</v>
      </c>
      <c r="G75" s="21"/>
      <c r="H75" s="28" t="s">
        <v>136</v>
      </c>
      <c r="I75" s="21" t="s">
        <v>242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8">
        <v>0.5</v>
      </c>
      <c r="G76" s="21"/>
      <c r="H76" s="28" t="s">
        <v>136</v>
      </c>
      <c r="I76" s="21" t="s">
        <v>242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F77" s="28">
        <v>0.5</v>
      </c>
      <c r="H77" s="28" t="s">
        <v>136</v>
      </c>
      <c r="I77" s="21" t="s">
        <v>242</v>
      </c>
    </row>
  </sheetData>
  <autoFilter ref="A2:I77" xr:uid="{00000000-0001-0000-0000-000000000000}">
    <filterColumn colId="4">
      <filters>
        <filter val="アルファ"/>
      </filters>
    </filterColumn>
  </autoFilter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J11" sqref="J11"/>
    </sheetView>
  </sheetViews>
  <sheetFormatPr defaultRowHeight="18.7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 s="53">
        <v>20</v>
      </c>
      <c r="C6" s="53">
        <v>21</v>
      </c>
      <c r="D6" s="53">
        <v>22</v>
      </c>
      <c r="E6" s="53">
        <v>23</v>
      </c>
      <c r="F6" s="53">
        <v>24</v>
      </c>
      <c r="G6" s="53">
        <v>25</v>
      </c>
      <c r="H6" s="53">
        <v>26</v>
      </c>
    </row>
    <row r="7" spans="2:8">
      <c r="B7" s="53">
        <v>27</v>
      </c>
      <c r="C7" s="53">
        <v>28</v>
      </c>
      <c r="D7" s="53">
        <v>29</v>
      </c>
      <c r="E7" s="53">
        <v>30</v>
      </c>
      <c r="F7" s="54">
        <v>1</v>
      </c>
      <c r="G7" s="54">
        <v>2</v>
      </c>
      <c r="H7" s="54">
        <v>3</v>
      </c>
    </row>
    <row r="8" spans="2:8">
      <c r="B8" s="54">
        <v>4</v>
      </c>
      <c r="C8" s="54">
        <v>5</v>
      </c>
      <c r="D8" s="54">
        <v>6</v>
      </c>
      <c r="E8" s="54">
        <v>7</v>
      </c>
      <c r="F8" s="54">
        <v>8</v>
      </c>
      <c r="G8" s="54">
        <v>9</v>
      </c>
      <c r="H8" s="54">
        <v>10</v>
      </c>
    </row>
    <row r="9" spans="2:8">
      <c r="B9" s="54">
        <v>11</v>
      </c>
      <c r="C9" s="54">
        <v>12</v>
      </c>
      <c r="D9" s="54">
        <v>13</v>
      </c>
      <c r="E9" s="54">
        <v>14</v>
      </c>
      <c r="F9" s="54">
        <v>15</v>
      </c>
      <c r="G9" s="55">
        <v>16</v>
      </c>
      <c r="H9" s="55">
        <v>17</v>
      </c>
    </row>
    <row r="10" spans="2:8">
      <c r="B10" s="56">
        <v>18</v>
      </c>
      <c r="C10" s="57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2026-10-08T07:50:48Z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