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koukiteam\"/>
    </mc:Choice>
  </mc:AlternateContent>
  <xr:revisionPtr revIDLastSave="0" documentId="13_ncr:1_{C952297C-48CA-45DB-9B31-B0E67261DDE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</sheets>
  <definedNames>
    <definedName name="_xlnm._FilterDatabase" localSheetId="0" hidden="1">'1125_元データ'!$B$2:$G$106</definedName>
    <definedName name="_xlnm._FilterDatabase" localSheetId="2" hidden="1">作業工数見積もり!$C$2:$H$67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  <c r="K8" i="1"/>
  <c r="K11" i="1"/>
  <c r="K12" i="1" s="1"/>
  <c r="C3" i="5"/>
  <c r="K9" i="1"/>
  <c r="K7" i="1"/>
  <c r="K5" i="1"/>
  <c r="K4" i="1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K3" i="1" l="1"/>
  <c r="L7" i="1" s="1"/>
  <c r="E12" i="5"/>
  <c r="K4" i="4"/>
  <c r="L4" i="4" s="1"/>
  <c r="D5" i="5"/>
  <c r="E10" i="5"/>
  <c r="E11" i="5"/>
  <c r="M10" i="4"/>
  <c r="M9" i="4"/>
  <c r="M11" i="4"/>
  <c r="L8" i="1" l="1"/>
</calcChain>
</file>

<file path=xl/sharedStrings.xml><?xml version="1.0" encoding="utf-8"?>
<sst xmlns="http://schemas.openxmlformats.org/spreadsheetml/2006/main" count="543" uniqueCount="175">
  <si>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</si>
  <si>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</si>
  <si>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</si>
  <si>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</si>
  <si>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</si>
  <si>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</si>
  <si>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</si>
  <si>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</si>
  <si>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</si>
  <si>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</si>
  <si>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</si>
  <si>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</si>
  <si>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</si>
  <si>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</si>
  <si>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</si>
  <si>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</si>
  <si>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</si>
  <si>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</si>
  <si>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</si>
  <si>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</si>
  <si>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</si>
  <si>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</si>
  <si>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</si>
  <si>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</si>
  <si>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</si>
  <si>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</si>
  <si>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</si>
  <si>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</si>
  <si>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</si>
  <si>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</si>
  <si>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</si>
  <si>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</si>
  <si>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</si>
  <si>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</si>
  <si>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</si>
  <si>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</si>
  <si>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</si>
  <si>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</si>
  <si>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</si>
  <si>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</si>
  <si>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</si>
  <si>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</si>
  <si>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</si>
  <si>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</si>
  <si>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</si>
  <si>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</si>
  <si>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</si>
  <si>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</si>
  <si>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</si>
  <si>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</si>
  <si>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</si>
  <si>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</si>
  <si>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</si>
  <si>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</si>
  <si>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</si>
  <si>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</si>
  <si>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</si>
  <si>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</si>
  <si>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</si>
  <si>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</si>
  <si>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</si>
  <si>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</si>
  <si>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</si>
  <si>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</si>
  <si>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</si>
  <si>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</si>
  <si>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</si>
  <si>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</si>
  <si>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</si>
  <si>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</si>
  <si>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</si>
  <si>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</si>
  <si>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</si>
  <si>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</si>
  <si>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</si>
  <si>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</si>
  <si>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</si>
  <si>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</si>
  <si>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</si>
  <si>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</si>
  <si>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</si>
  <si>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</si>
  <si>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</si>
  <si>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</si>
  <si>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</si>
  <si>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</si>
  <si>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</si>
  <si>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</si>
  <si>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</si>
  <si>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</si>
  <si>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</si>
  <si>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</si>
  <si>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</si>
  <si>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</si>
  <si>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</si>
  <si>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</si>
  <si>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</si>
  <si>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</si>
  <si>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</si>
  <si>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</si>
  <si>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</si>
  <si>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</si>
  <si>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</si>
  <si>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</si>
  <si>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</si>
  <si>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</si>
  <si>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</si>
  <si>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</si>
  <si>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</si>
  <si>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</si>
  <si>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</si>
  <si>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</si>
  <si>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</si>
  <si>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</si>
  <si>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</si>
  <si>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</si>
  <si>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</si>
  <si>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</si>
  <si>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</si>
  <si>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</si>
  <si>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</si>
  <si>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</si>
  <si>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</si>
  <si>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</si>
  <si>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</si>
  <si>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</si>
  <si>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</si>
  <si>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</si>
  <si>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</si>
  <si>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</si>
  <si>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</si>
  <si>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</si>
  <si>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</si>
  <si>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</si>
  <si>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全体の作業項目数</t>
  </si>
  <si>
    <t>BGM</t>
    <phoneticPr fontId="1"/>
  </si>
  <si>
    <t>BGM再生</t>
  </si>
  <si>
    <t>SE</t>
    <phoneticPr fontId="1"/>
  </si>
  <si>
    <t>SE再生</t>
  </si>
  <si>
    <t>UI素材</t>
    <rPh sb="2" eb="4">
      <t>ソザイ</t>
    </rPh>
    <phoneticPr fontId="1"/>
  </si>
  <si>
    <t>未着手</t>
    <rPh sb="0" eb="3">
      <t>ミチャクシュ</t>
    </rPh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</si>
  <si>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</si>
  <si>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</si>
  <si>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作業中</t>
    <rPh sb="0" eb="3">
      <t>サギョウチュウ</t>
    </rPh>
    <phoneticPr fontId="1"/>
  </si>
  <si>
    <t>押し合い判定</t>
    <rPh sb="0" eb="1">
      <t>オ</t>
    </rPh>
    <rPh sb="2" eb="3">
      <t>ア</t>
    </rPh>
    <rPh sb="4" eb="6">
      <t>ハンテイ</t>
    </rPh>
    <phoneticPr fontId="1"/>
  </si>
  <si>
    <t>全体の作業工数</t>
  </si>
  <si>
    <t>作成にかかる時間</t>
  </si>
  <si>
    <t>再生</t>
    <rPh sb="0" eb="2">
      <t>サイセイ</t>
    </rPh>
    <phoneticPr fontId="1"/>
  </si>
  <si>
    <t>再生速度調整</t>
    <rPh sb="0" eb="2">
      <t>サイセイ</t>
    </rPh>
    <rPh sb="2" eb="4">
      <t>ソクド</t>
    </rPh>
    <rPh sb="4" eb="6">
      <t>チョウセイ</t>
    </rPh>
    <phoneticPr fontId="1"/>
  </si>
  <si>
    <t>死亡</t>
    <rPh sb="0" eb="2">
      <t>シボウ</t>
    </rPh>
    <phoneticPr fontId="1"/>
  </si>
  <si>
    <t>システム</t>
    <phoneticPr fontId="1"/>
  </si>
  <si>
    <t>カメラ</t>
    <phoneticPr fontId="1"/>
  </si>
  <si>
    <t>未着手</t>
    <phoneticPr fontId="1"/>
  </si>
  <si>
    <t>当たり判定</t>
    <rPh sb="0" eb="1">
      <t>ア</t>
    </rPh>
    <rPh sb="3" eb="5">
      <t>ハンテイ</t>
    </rPh>
    <phoneticPr fontId="1"/>
  </si>
  <si>
    <t>プレイヤー</t>
    <phoneticPr fontId="1"/>
  </si>
  <si>
    <t>エネミー</t>
    <phoneticPr fontId="1"/>
  </si>
  <si>
    <t>エネミーと壁の当たり判定</t>
    <rPh sb="5" eb="6">
      <t>カベ</t>
    </rPh>
    <rPh sb="7" eb="8">
      <t>ア</t>
    </rPh>
    <rPh sb="10" eb="12">
      <t>ハンテイ</t>
    </rPh>
    <phoneticPr fontId="1"/>
  </si>
  <si>
    <t>プレイヤーと壁の当たり判定</t>
    <phoneticPr fontId="1"/>
  </si>
  <si>
    <t>プレイヤーとエネミーの判定</t>
    <rPh sb="11" eb="13">
      <t>ハンテイ</t>
    </rPh>
    <phoneticPr fontId="1"/>
  </si>
  <si>
    <t>移動</t>
    <rPh sb="0" eb="2">
      <t>イドウ</t>
    </rPh>
    <phoneticPr fontId="1"/>
  </si>
  <si>
    <t>操作</t>
    <rPh sb="0" eb="2">
      <t>ソウサ</t>
    </rPh>
    <phoneticPr fontId="1"/>
  </si>
  <si>
    <t>パンチ</t>
    <phoneticPr fontId="1"/>
  </si>
  <si>
    <t>投げる</t>
    <rPh sb="0" eb="1">
      <t>ナ</t>
    </rPh>
    <phoneticPr fontId="1"/>
  </si>
  <si>
    <t>プレイヤーと弾の当たり判定</t>
    <rPh sb="6" eb="7">
      <t>タマ</t>
    </rPh>
    <rPh sb="8" eb="9">
      <t>ア</t>
    </rPh>
    <rPh sb="11" eb="13">
      <t>ハンテイ</t>
    </rPh>
    <phoneticPr fontId="1"/>
  </si>
  <si>
    <t>プレイヤーとオブジェクトの当たり判定</t>
    <phoneticPr fontId="1"/>
  </si>
  <si>
    <t>エネミーと弾の当たり判定</t>
    <rPh sb="5" eb="6">
      <t>タマ</t>
    </rPh>
    <rPh sb="7" eb="8">
      <t>ア</t>
    </rPh>
    <rPh sb="10" eb="12">
      <t>ハンテイ</t>
    </rPh>
    <phoneticPr fontId="1"/>
  </si>
  <si>
    <t>エネミーとオブジェクトの当たり判定</t>
    <rPh sb="12" eb="13">
      <t>ア</t>
    </rPh>
    <rPh sb="15" eb="17">
      <t>ハンテイ</t>
    </rPh>
    <phoneticPr fontId="1"/>
  </si>
  <si>
    <t>ピストル</t>
    <phoneticPr fontId="1"/>
  </si>
  <si>
    <t>取得</t>
    <rPh sb="0" eb="2">
      <t>シュトク</t>
    </rPh>
    <phoneticPr fontId="1"/>
  </si>
  <si>
    <t>時間を遅くする</t>
    <rPh sb="0" eb="2">
      <t>ジカン</t>
    </rPh>
    <rPh sb="3" eb="4">
      <t>オソ</t>
    </rPh>
    <phoneticPr fontId="1"/>
  </si>
  <si>
    <t>ゲームマネージャー</t>
    <phoneticPr fontId="1"/>
  </si>
  <si>
    <t>リプレイ</t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</si>
  <si>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</si>
  <si>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ダメージ</t>
    <phoneticPr fontId="1"/>
  </si>
  <si>
    <t>死亡</t>
    <rPh sb="0" eb="2">
      <t>シボウ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</si>
</sst>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3" fillId="12" borderId="3" xfId="0" applyFont="1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8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56" fontId="0" fillId="0" borderId="3" xfId="0" applyNumberFormat="1" applyBorder="1"/>
    <xf numFmtId="9" fontId="0" fillId="12" borderId="3" xfId="1" applyFont="1" applyFill="1" applyBorder="1" applyAlignment="1"/>
    <xf numFmtId="0" fontId="2" fillId="19" borderId="3" xfId="0" applyFont="1" applyFill="1" applyBorder="1" applyAlignment="1">
      <alignment horizontal="center" vertical="center"/>
    </xf>
    <xf numFmtId="0" fontId="2" fillId="24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25" borderId="3" xfId="0" applyFont="1" applyFill="1" applyBorder="1"/>
    <xf numFmtId="0" fontId="2" fillId="26" borderId="3" xfId="0" applyFont="1" applyFill="1" applyBorder="1"/>
    <xf numFmtId="0" fontId="2" fillId="18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FFCC"/>
      <color rgb="FF9933FF"/>
      <color rgb="FFFF3300"/>
      <color rgb="FF33CCFF"/>
      <color rgb="FF99FF33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481</v>
      </c>
      <c r="L4" s="3">
        <f ca="1" xml:space="preserve"> K3 / K4</f>
        <v>5.5093555093555097E-2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46275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-450</v>
      </c>
      <c r="M9" s="3">
        <f ca="1">($K$2 - $K$3) / L9</f>
        <v>-0.20444444444444446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-430</v>
      </c>
      <c r="M10" s="3">
        <f ca="1">($K$2 - $K$3) / L10</f>
        <v>-0.21395348837209302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-419</v>
      </c>
      <c r="M11" s="3">
        <f ca="1">($K$2 - $K$3) / L11</f>
        <v>-0.21957040572792363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SUM(作業工数見積もり!F3:F97)</f>
        <v>33.25</v>
      </c>
    </row>
    <row r="4" spans="2:5">
      <c r="B4" s="7" t="s">
        <v>10</v>
      </c>
      <c r="C4">
        <f>SUMIF(作業工数見積もり!H3:H44,"完了",作業工数見積もり!F3:F44)</f>
        <v>0</v>
      </c>
      <c r="D4" t="s">
        <v>11</v>
      </c>
    </row>
    <row r="5" spans="2:5">
      <c r="B5" s="8" t="s">
        <v>13</v>
      </c>
      <c r="C5" s="2">
        <f ca="1">NETWORKDAYS(C6,C7)</f>
        <v>481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46275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-450</v>
      </c>
      <c r="E10" s="3">
        <f ca="1">($C$3 - $C$4) / D10</f>
        <v>-7.3888888888888893E-2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-430</v>
      </c>
      <c r="E11" s="3">
        <f ca="1">($C$3 - $C$4) / D11</f>
        <v>-7.7325581395348841E-2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-419</v>
      </c>
      <c r="E12" s="3">
        <f ca="1">($C$3 - $C$4) / D12</f>
        <v>-7.9355608591885438E-2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41">
        <v>45631</v>
      </c>
    </row>
    <row r="25" spans="2:4">
      <c r="B25" s="21" t="s">
        <v>1</v>
      </c>
      <c r="C25" s="41">
        <v>45662</v>
      </c>
    </row>
    <row r="26" spans="2:4">
      <c r="B26" s="21" t="s">
        <v>127</v>
      </c>
      <c r="C26" s="41">
        <v>45677</v>
      </c>
    </row>
    <row r="27" spans="2:4">
      <c r="B27" s="21" t="s">
        <v>128</v>
      </c>
      <c r="C27" s="41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70"/>
  <sheetViews>
    <sheetView tabSelected="1" topLeftCell="A22" zoomScale="85" zoomScaleNormal="85" workbookViewId="0">
      <selection activeCell="B36" sqref="B36"/>
    </sheetView>
  </sheetViews>
  <sheetFormatPr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9" bestFit="1" customWidth="1"/>
    <col min="5" max="5" width="15.25" style="29" bestFit="1" customWidth="1"/>
    <col min="6" max="7" width="13.5" style="29" bestFit="1" customWidth="1"/>
    <col min="8" max="8" width="15.25" style="29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2">
      <c r="B2" s="27" t="s">
        <v>129</v>
      </c>
      <c r="C2" s="27" t="s">
        <v>130</v>
      </c>
      <c r="D2" s="28" t="s">
        <v>2</v>
      </c>
      <c r="E2" s="28" t="s">
        <v>3</v>
      </c>
      <c r="F2" s="28" t="s">
        <v>131</v>
      </c>
      <c r="G2" s="28" t="s">
        <v>5</v>
      </c>
      <c r="H2" s="28" t="s">
        <v>132</v>
      </c>
    </row>
    <row r="3" spans="2:12">
      <c r="B3" s="30" t="s">
        <v>133</v>
      </c>
      <c r="C3" s="21" t="s">
        <v>135</v>
      </c>
      <c r="D3" s="29" t="s">
        <v>17</v>
      </c>
      <c r="E3" s="29" t="s">
        <v>18</v>
      </c>
      <c r="F3" s="29">
        <v>0.25</v>
      </c>
      <c r="H3" s="29" t="s">
        <v>152</v>
      </c>
      <c r="J3" s="45" t="s">
        <v>134</v>
      </c>
      <c r="K3" s="21">
        <f>SUM(K4,K5,K6)</f>
        <v>35</v>
      </c>
    </row>
    <row r="4" spans="2:12">
      <c r="B4" s="30" t="s">
        <v>133</v>
      </c>
      <c r="C4" s="21" t="s">
        <v>136</v>
      </c>
      <c r="D4" s="29" t="s">
        <v>17</v>
      </c>
      <c r="E4" s="29" t="s">
        <v>18</v>
      </c>
      <c r="F4" s="29">
        <v>0.25</v>
      </c>
      <c r="H4" s="29" t="s">
        <v>152</v>
      </c>
      <c r="J4" s="46" t="s">
        <v>126</v>
      </c>
      <c r="K4" s="50">
        <f>COUNTIF(E3:E66,J4)</f>
        <v>23</v>
      </c>
    </row>
    <row r="5" spans="2:12">
      <c r="B5" s="30" t="s">
        <v>133</v>
      </c>
      <c r="C5" s="21" t="s">
        <v>137</v>
      </c>
      <c r="D5" s="29" t="s">
        <v>17</v>
      </c>
      <c r="E5" s="29" t="s">
        <v>18</v>
      </c>
      <c r="F5" s="29">
        <v>0.25</v>
      </c>
      <c r="H5" s="29" t="s">
        <v>152</v>
      </c>
      <c r="J5" s="47" t="s">
        <v>1</v>
      </c>
      <c r="K5" s="50">
        <f>COUNTIF(E3:E66,J5)</f>
        <v>12</v>
      </c>
    </row>
    <row r="6" spans="2:12">
      <c r="B6" s="30" t="s">
        <v>133</v>
      </c>
      <c r="C6" s="21" t="s">
        <v>138</v>
      </c>
      <c r="D6" s="29" t="s">
        <v>17</v>
      </c>
      <c r="E6" s="29" t="s">
        <v>18</v>
      </c>
      <c r="F6" s="29">
        <v>0.5</v>
      </c>
      <c r="H6" s="29" t="s">
        <v>152</v>
      </c>
      <c r="J6" s="48" t="s">
        <v>127</v>
      </c>
      <c r="K6" s="50">
        <f>COUNTIF(E3:E66,J6)</f>
        <v>0</v>
      </c>
    </row>
    <row r="7" spans="2:12">
      <c r="B7" s="30" t="s">
        <v>133</v>
      </c>
      <c r="C7" s="21" t="s">
        <v>139</v>
      </c>
      <c r="D7" s="29" t="s">
        <v>17</v>
      </c>
      <c r="E7" s="29" t="s">
        <v>1</v>
      </c>
      <c r="F7" s="29">
        <v>0.25</v>
      </c>
      <c r="H7" s="29" t="s">
        <v>152</v>
      </c>
      <c r="J7" s="43" t="s">
        <v>35</v>
      </c>
      <c r="K7" s="50">
        <f>COUNTIF(H3:H66,J7)</f>
        <v>0</v>
      </c>
      <c r="L7" s="51">
        <f>K7/K3</f>
        <v>0</v>
      </c>
    </row>
    <row r="8" spans="2:12">
      <c r="B8" s="31" t="s">
        <v>141</v>
      </c>
      <c r="C8" s="21" t="s">
        <v>142</v>
      </c>
      <c r="D8" s="29" t="s">
        <v>9</v>
      </c>
      <c r="E8" s="29" t="s">
        <v>18</v>
      </c>
      <c r="F8" s="29">
        <v>0.5</v>
      </c>
      <c r="H8" s="29" t="s">
        <v>152</v>
      </c>
      <c r="J8" s="44" t="s">
        <v>140</v>
      </c>
      <c r="K8" s="50">
        <f>COUNTIF(H3:H66,J8)</f>
        <v>35</v>
      </c>
      <c r="L8" s="42">
        <f>(K8+K9)/K3</f>
        <v>1</v>
      </c>
    </row>
    <row r="9" spans="2:12">
      <c r="B9" s="31" t="s">
        <v>141</v>
      </c>
      <c r="C9" s="21" t="s">
        <v>144</v>
      </c>
      <c r="D9" s="29" t="s">
        <v>9</v>
      </c>
      <c r="E9" s="29" t="s">
        <v>34</v>
      </c>
      <c r="F9" s="29">
        <v>0.5</v>
      </c>
      <c r="H9" s="29" t="s">
        <v>152</v>
      </c>
      <c r="J9" s="45" t="s">
        <v>143</v>
      </c>
      <c r="K9" s="21">
        <f>COUNTIF(H3:H66,J9)</f>
        <v>0</v>
      </c>
    </row>
    <row r="10" spans="2:12">
      <c r="B10" s="31" t="s">
        <v>141</v>
      </c>
      <c r="C10" s="21" t="s">
        <v>154</v>
      </c>
      <c r="D10" s="29" t="s">
        <v>9</v>
      </c>
      <c r="E10" s="29" t="s">
        <v>34</v>
      </c>
      <c r="F10" s="29">
        <v>0.5</v>
      </c>
      <c r="H10" s="29" t="s">
        <v>152</v>
      </c>
    </row>
    <row r="11" spans="2:12">
      <c r="B11" s="31" t="s">
        <v>141</v>
      </c>
      <c r="C11" s="21" t="s">
        <v>157</v>
      </c>
      <c r="D11" s="29" t="s">
        <v>9</v>
      </c>
      <c r="E11" s="29" t="s">
        <v>18</v>
      </c>
      <c r="F11" s="29">
        <v>1</v>
      </c>
      <c r="H11" s="29" t="s">
        <v>152</v>
      </c>
      <c r="J11" s="52" t="s">
        <v>145</v>
      </c>
      <c r="K11" s="21">
        <f>SUM(F3:F66)</f>
        <v>33.25</v>
      </c>
    </row>
    <row r="12" spans="2:12">
      <c r="B12" s="31" t="s">
        <v>141</v>
      </c>
      <c r="C12" s="21" t="s">
        <v>163</v>
      </c>
      <c r="D12" s="29" t="s">
        <v>9</v>
      </c>
      <c r="E12" s="29" t="s">
        <v>18</v>
      </c>
      <c r="F12" s="29">
        <v>2</v>
      </c>
      <c r="H12" s="29" t="s">
        <v>152</v>
      </c>
      <c r="J12" s="49" t="s">
        <v>146</v>
      </c>
      <c r="K12" s="21">
        <f>8*K11</f>
        <v>266</v>
      </c>
    </row>
    <row r="13" spans="2:12">
      <c r="B13" s="31" t="s">
        <v>141</v>
      </c>
      <c r="C13" s="21" t="s">
        <v>164</v>
      </c>
      <c r="D13" s="29" t="s">
        <v>9</v>
      </c>
      <c r="E13" s="29" t="s">
        <v>18</v>
      </c>
      <c r="F13" s="29">
        <v>3</v>
      </c>
      <c r="H13" s="29" t="s">
        <v>152</v>
      </c>
      <c r="J13" s="49"/>
    </row>
    <row r="14" spans="2:12">
      <c r="B14" s="31" t="s">
        <v>141</v>
      </c>
      <c r="C14" s="21" t="s">
        <v>158</v>
      </c>
      <c r="D14" s="29" t="s">
        <v>9</v>
      </c>
      <c r="E14" s="29" t="s">
        <v>34</v>
      </c>
      <c r="F14" s="29">
        <v>0.5</v>
      </c>
      <c r="H14" s="29" t="s">
        <v>152</v>
      </c>
    </row>
    <row r="15" spans="2:12">
      <c r="B15" s="31" t="s">
        <v>153</v>
      </c>
      <c r="C15" s="21" t="s">
        <v>155</v>
      </c>
      <c r="D15" s="29" t="s">
        <v>9</v>
      </c>
      <c r="E15" s="29" t="s">
        <v>34</v>
      </c>
      <c r="F15" s="29">
        <v>1.5</v>
      </c>
      <c r="H15" s="29" t="s">
        <v>152</v>
      </c>
    </row>
    <row r="16" spans="2:12">
      <c r="B16" s="31" t="s">
        <v>153</v>
      </c>
      <c r="C16" s="21" t="s">
        <v>165</v>
      </c>
      <c r="D16" s="29" t="s">
        <v>9</v>
      </c>
      <c r="E16" s="29" t="s">
        <v>34</v>
      </c>
      <c r="F16" s="29">
        <v>2.5</v>
      </c>
      <c r="H16" s="29" t="s">
        <v>152</v>
      </c>
    </row>
    <row r="17" spans="2:8">
      <c r="B17" s="31" t="s">
        <v>153</v>
      </c>
      <c r="C17" s="21" t="s">
        <v>166</v>
      </c>
      <c r="D17" s="29" t="s">
        <v>9</v>
      </c>
      <c r="E17" s="29" t="s">
        <v>34</v>
      </c>
      <c r="F17" s="29">
        <v>3.5</v>
      </c>
      <c r="H17" s="29" t="s">
        <v>152</v>
      </c>
    </row>
    <row r="18" spans="2:8">
      <c r="B18" s="31" t="s">
        <v>153</v>
      </c>
      <c r="C18" s="21" t="s">
        <v>156</v>
      </c>
      <c r="D18" s="29" t="s">
        <v>9</v>
      </c>
      <c r="E18" s="29" t="s">
        <v>34</v>
      </c>
      <c r="F18" s="29">
        <v>2.5</v>
      </c>
      <c r="H18" s="29" t="s">
        <v>152</v>
      </c>
    </row>
    <row r="19" spans="2:8">
      <c r="B19" s="31" t="s">
        <v>153</v>
      </c>
      <c r="C19" s="21" t="s">
        <v>172</v>
      </c>
      <c r="D19" s="29" t="s">
        <v>9</v>
      </c>
      <c r="E19" s="29" t="s">
        <v>34</v>
      </c>
      <c r="F19" s="29">
        <v>3.5</v>
      </c>
      <c r="H19" s="29" t="s">
        <v>152</v>
      </c>
    </row>
    <row r="20" spans="2:8">
      <c r="B20" s="32" t="s">
        <v>154</v>
      </c>
      <c r="C20" s="21" t="s">
        <v>160</v>
      </c>
      <c r="D20" s="29" t="s">
        <v>17</v>
      </c>
      <c r="E20" s="29" t="s">
        <v>18</v>
      </c>
      <c r="F20" s="29">
        <v>1</v>
      </c>
      <c r="H20" s="29" t="s">
        <v>152</v>
      </c>
    </row>
    <row r="21" spans="2:8">
      <c r="B21" s="32" t="s">
        <v>154</v>
      </c>
      <c r="C21" s="21" t="s">
        <v>159</v>
      </c>
      <c r="D21" s="29" t="s">
        <v>9</v>
      </c>
      <c r="E21" s="29" t="s">
        <v>34</v>
      </c>
      <c r="F21" s="29">
        <v>0.5</v>
      </c>
      <c r="H21" s="29" t="s">
        <v>152</v>
      </c>
    </row>
    <row r="22" spans="2:8">
      <c r="B22" s="32" t="s">
        <v>154</v>
      </c>
      <c r="C22" s="21" t="s">
        <v>161</v>
      </c>
      <c r="D22" s="29" t="s">
        <v>9</v>
      </c>
      <c r="E22" s="29" t="s">
        <v>34</v>
      </c>
      <c r="F22" s="29">
        <v>0.5</v>
      </c>
      <c r="H22" s="29" t="s">
        <v>152</v>
      </c>
    </row>
    <row r="23" spans="2:8">
      <c r="B23" s="32" t="s">
        <v>154</v>
      </c>
      <c r="C23" s="21" t="s">
        <v>162</v>
      </c>
      <c r="D23" s="29" t="s">
        <v>9</v>
      </c>
      <c r="E23" s="29" t="s">
        <v>34</v>
      </c>
      <c r="F23" s="29">
        <v>0.5</v>
      </c>
      <c r="H23" s="29" t="s">
        <v>152</v>
      </c>
    </row>
    <row r="24" spans="2:8">
      <c r="B24" s="32" t="s">
        <v>154</v>
      </c>
      <c r="C24" s="21" t="s">
        <v>151</v>
      </c>
      <c r="D24" s="29" t="s">
        <v>9</v>
      </c>
      <c r="E24" s="29" t="s">
        <v>34</v>
      </c>
      <c r="F24" s="29">
        <v>0.5</v>
      </c>
      <c r="H24" s="29" t="s">
        <v>152</v>
      </c>
    </row>
    <row r="25" spans="2:8">
      <c r="B25" s="32" t="s">
        <v>154</v>
      </c>
      <c r="C25" s="21" t="s">
        <v>168</v>
      </c>
      <c r="D25" s="29" t="s">
        <v>9</v>
      </c>
      <c r="E25" s="29" t="s">
        <v>34</v>
      </c>
      <c r="F25" s="29">
        <v>0.5</v>
      </c>
      <c r="H25" s="29" t="s">
        <v>152</v>
      </c>
    </row>
    <row r="26" spans="2:8">
      <c r="B26" s="32" t="s">
        <v>154</v>
      </c>
      <c r="C26" s="21" t="s">
        <v>167</v>
      </c>
      <c r="D26" s="29" t="s">
        <v>9</v>
      </c>
      <c r="E26" s="29" t="s">
        <v>34</v>
      </c>
      <c r="F26" s="29">
        <v>0.5</v>
      </c>
      <c r="H26" s="29" t="s">
        <v>152</v>
      </c>
    </row>
    <row r="27" spans="2:8">
      <c r="B27" s="32" t="s">
        <v>154</v>
      </c>
      <c r="C27" s="21" t="s">
        <v>147</v>
      </c>
      <c r="D27" s="29" t="s">
        <v>17</v>
      </c>
      <c r="E27" s="29" t="s">
        <v>18</v>
      </c>
      <c r="F27" s="29">
        <v>1</v>
      </c>
      <c r="H27" s="29" t="s">
        <v>152</v>
      </c>
    </row>
    <row r="28" spans="2:8">
      <c r="B28" s="32" t="s">
        <v>154</v>
      </c>
      <c r="C28" s="21" t="s">
        <v>148</v>
      </c>
      <c r="D28" s="29" t="s">
        <v>17</v>
      </c>
      <c r="E28" s="29" t="s">
        <v>18</v>
      </c>
      <c r="F28" s="29">
        <v>1</v>
      </c>
      <c r="H28" s="29" t="s">
        <v>152</v>
      </c>
    </row>
    <row r="29" spans="2:8">
      <c r="B29" s="32" t="s">
        <v>154</v>
      </c>
      <c r="C29" s="21" t="s">
        <v>149</v>
      </c>
      <c r="D29" s="29" t="s">
        <v>17</v>
      </c>
      <c r="E29" s="29" t="s">
        <v>34</v>
      </c>
      <c r="F29" s="29">
        <v>0.25</v>
      </c>
      <c r="H29" s="29" t="s">
        <v>152</v>
      </c>
    </row>
    <row r="30" spans="2:8">
      <c r="B30" s="33" t="s">
        <v>155</v>
      </c>
      <c r="C30" s="21" t="s">
        <v>159</v>
      </c>
      <c r="D30" s="29" t="s">
        <v>9</v>
      </c>
      <c r="E30" s="29" t="s">
        <v>34</v>
      </c>
      <c r="F30" s="29">
        <v>0.5</v>
      </c>
      <c r="H30" s="29" t="s">
        <v>152</v>
      </c>
    </row>
    <row r="31" spans="2:8">
      <c r="B31" s="33" t="s">
        <v>155</v>
      </c>
      <c r="C31" s="21" t="s">
        <v>168</v>
      </c>
      <c r="D31" s="29" t="s">
        <v>9</v>
      </c>
      <c r="E31" s="29" t="s">
        <v>34</v>
      </c>
      <c r="F31" s="29">
        <v>0.5</v>
      </c>
      <c r="H31" s="29" t="s">
        <v>152</v>
      </c>
    </row>
    <row r="32" spans="2:8">
      <c r="B32" s="33" t="s">
        <v>155</v>
      </c>
      <c r="C32" s="21" t="s">
        <v>161</v>
      </c>
      <c r="D32" s="29" t="s">
        <v>9</v>
      </c>
      <c r="E32" s="29" t="s">
        <v>34</v>
      </c>
      <c r="F32" s="29">
        <v>0.5</v>
      </c>
      <c r="H32" s="29" t="s">
        <v>152</v>
      </c>
    </row>
    <row r="33" spans="2:8">
      <c r="B33" s="33" t="s">
        <v>155</v>
      </c>
      <c r="C33" s="21" t="s">
        <v>167</v>
      </c>
      <c r="D33" s="29" t="s">
        <v>9</v>
      </c>
      <c r="E33" s="29" t="s">
        <v>34</v>
      </c>
      <c r="F33" s="29">
        <v>0.5</v>
      </c>
      <c r="H33" s="29" t="s">
        <v>152</v>
      </c>
    </row>
    <row r="34" spans="2:8">
      <c r="B34" s="33" t="s">
        <v>155</v>
      </c>
      <c r="C34" s="21" t="s">
        <v>174</v>
      </c>
    </row>
    <row r="35" spans="2:8">
      <c r="B35" s="33" t="s">
        <v>155</v>
      </c>
      <c r="C35" s="21" t="s">
        <v>173</v>
      </c>
      <c r="D35" s="29" t="s">
        <v>9</v>
      </c>
      <c r="E35" s="29" t="s">
        <v>34</v>
      </c>
      <c r="F35" s="29">
        <v>0.5</v>
      </c>
      <c r="H35" s="29" t="s">
        <v>152</v>
      </c>
    </row>
    <row r="36" spans="2:8">
      <c r="D36" s="21"/>
      <c r="E36" s="21"/>
      <c r="F36" s="21"/>
      <c r="G36" s="21"/>
      <c r="H36" s="21"/>
    </row>
    <row r="37" spans="2:8">
      <c r="D37" s="21"/>
      <c r="E37" s="21"/>
      <c r="F37" s="21"/>
      <c r="G37" s="21"/>
      <c r="H37" s="21"/>
    </row>
    <row r="38" spans="2:8">
      <c r="D38" s="21"/>
      <c r="E38" s="21"/>
      <c r="F38" s="21"/>
      <c r="G38" s="21"/>
      <c r="H38" s="21"/>
    </row>
    <row r="39" spans="2:8">
      <c r="B39" s="25" t="s">
        <v>150</v>
      </c>
      <c r="C39" s="21" t="s">
        <v>169</v>
      </c>
      <c r="D39" s="29" t="s">
        <v>9</v>
      </c>
      <c r="E39" s="29" t="s">
        <v>34</v>
      </c>
      <c r="F39" s="29">
        <v>0.5</v>
      </c>
      <c r="H39" s="29" t="s">
        <v>152</v>
      </c>
    </row>
    <row r="40" spans="2:8">
      <c r="B40" s="25" t="s">
        <v>150</v>
      </c>
      <c r="C40" s="21" t="s">
        <v>170</v>
      </c>
      <c r="D40" s="29" t="s">
        <v>9</v>
      </c>
      <c r="E40" s="29" t="s">
        <v>34</v>
      </c>
      <c r="F40" s="29">
        <v>0.5</v>
      </c>
      <c r="H40" s="29" t="s">
        <v>152</v>
      </c>
    </row>
    <row r="41" spans="2:8">
      <c r="B41" s="25" t="s">
        <v>150</v>
      </c>
      <c r="C41" s="21" t="s">
        <v>171</v>
      </c>
      <c r="D41" s="29" t="s">
        <v>9</v>
      </c>
      <c r="E41" s="29" t="s">
        <v>34</v>
      </c>
      <c r="F41" s="29">
        <v>0.5</v>
      </c>
      <c r="H41" s="29" t="s">
        <v>152</v>
      </c>
    </row>
    <row r="42" spans="2:8">
      <c r="B42" s="33"/>
    </row>
    <row r="43" spans="2:8">
      <c r="B43" s="33"/>
    </row>
    <row r="44" spans="2:8">
      <c r="B44" s="33"/>
    </row>
    <row r="45" spans="2:8">
      <c r="B45" s="34"/>
    </row>
    <row r="46" spans="2:8">
      <c r="B46" s="34"/>
    </row>
    <row r="47" spans="2:8">
      <c r="B47" s="35"/>
    </row>
    <row r="48" spans="2:8">
      <c r="B48" s="35"/>
    </row>
    <row r="49" spans="2:3">
      <c r="B49" s="36"/>
    </row>
    <row r="50" spans="2:3">
      <c r="B50" s="36"/>
    </row>
    <row r="51" spans="2:3">
      <c r="B51" s="37"/>
    </row>
    <row r="52" spans="2:3">
      <c r="B52" s="37"/>
      <c r="C52" s="26"/>
    </row>
    <row r="53" spans="2:3">
      <c r="B53" s="38"/>
    </row>
    <row r="54" spans="2:3">
      <c r="B54" s="38"/>
    </row>
    <row r="55" spans="2:3">
      <c r="B55" s="38"/>
    </row>
    <row r="56" spans="2:3">
      <c r="B56" s="38"/>
    </row>
    <row r="57" spans="2:3">
      <c r="B57" s="39"/>
    </row>
    <row r="58" spans="2:3">
      <c r="B58" s="39"/>
    </row>
    <row r="59" spans="2:3">
      <c r="B59" s="39"/>
    </row>
    <row r="60" spans="2:3">
      <c r="B60" s="39"/>
    </row>
    <row r="61" spans="2:3">
      <c r="B61" s="40"/>
    </row>
    <row r="62" spans="2:3">
      <c r="B62" s="40"/>
    </row>
    <row r="63" spans="2:3">
      <c r="B63" s="40"/>
    </row>
    <row r="64" spans="2:3">
      <c r="B64" s="40"/>
      <c r="C64" s="53"/>
    </row>
    <row r="65" spans="2:8">
      <c r="B65" s="32"/>
    </row>
    <row r="66" spans="2:8">
      <c r="B66" s="32"/>
    </row>
    <row r="68" spans="2:8">
      <c r="D68" s="21"/>
      <c r="E68" s="21"/>
      <c r="F68" s="21"/>
      <c r="G68" s="21"/>
      <c r="H68" s="21"/>
    </row>
    <row r="69" spans="2:8">
      <c r="D69" s="21"/>
      <c r="E69" s="21"/>
      <c r="F69" s="21"/>
      <c r="G69" s="21"/>
      <c r="H69" s="21"/>
    </row>
    <row r="70" spans="2:8">
      <c r="D70" s="21"/>
      <c r="E70" s="21"/>
      <c r="F70" s="21"/>
      <c r="G70" s="21"/>
      <c r="H70" s="21"/>
    </row>
  </sheetData>
  <autoFilter ref="C2:H67" xr:uid="{00000000-0001-0000-0000-000000000000}">
    <sortState xmlns:xlrd2="http://schemas.microsoft.com/office/spreadsheetml/2017/richdata2" ref="C3:H67">
      <sortCondition ref="C2:C67"/>
    </sortState>
  </autoFilter>
  <phoneticPr fontId="1"/>
  <dataValidations count="3">
    <dataValidation type="list" allowBlank="1" showInputMessage="1" showErrorMessage="1" sqref="D3:D35 D39:D67" xr:uid="{AF10AFEC-2E3A-4CB7-ABD8-6255C47E78C2}">
      <formula1>"S,A,B,C"</formula1>
    </dataValidation>
    <dataValidation type="list" allowBlank="1" showInputMessage="1" showErrorMessage="1" sqref="E3:E35 E39:E67" xr:uid="{8982FD40-CA4D-4B92-93FE-B37B6B67ACD6}">
      <formula1>"プロト,アルファ,ベータ,マスタ"</formula1>
    </dataValidation>
    <dataValidation type="list" allowBlank="1" showInputMessage="1" showErrorMessage="1" sqref="H3:H35 H39:H67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1125_元データ</vt:lpstr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2026-09-10T09:34:43Z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